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hidePivotFieldList="1" defaultThemeVersion="202300"/>
  <mc:AlternateContent xmlns:mc="http://schemas.openxmlformats.org/markup-compatibility/2006">
    <mc:Choice Requires="x15">
      <x15ac:absPath xmlns:x15ac="http://schemas.microsoft.com/office/spreadsheetml/2010/11/ac" url="https://d.docs.live.net/08ec859eac6fe40e/ControllingDashboard/"/>
    </mc:Choice>
  </mc:AlternateContent>
  <xr:revisionPtr revIDLastSave="25" documentId="8_{0911EDB5-7703-9444-BB60-64BDA88E5045}" xr6:coauthVersionLast="47" xr6:coauthVersionMax="47" xr10:uidLastSave="{F007BC10-93DF-6040-82A0-8DBDE57A125F}"/>
  <bookViews>
    <workbookView xWindow="0" yWindow="660" windowWidth="29400" windowHeight="18460" activeTab="1" xr2:uid="{B42F3329-DB07-034F-B293-586B02AD4095}"/>
  </bookViews>
  <sheets>
    <sheet name="Dashboard_" sheetId="3" r:id="rId1"/>
    <sheet name="Dataset" sheetId="1" r:id="rId2"/>
    <sheet name="." sheetId="2" r:id="rId3"/>
  </sheets>
  <definedNames>
    <definedName name="Slicer_Jahr">#N/A</definedName>
  </definedNames>
  <calcPr calcId="191029"/>
  <pivotCaches>
    <pivotCache cacheId="86" r:id="rId4"/>
    <pivotCache cacheId="10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<sst xmlns="http://schemas.openxmlformats.org/spreadsheetml/2006/main" count="58" uniqueCount="34">
  <si>
    <t>Jahr</t>
  </si>
  <si>
    <t>LTV in %</t>
  </si>
  <si>
    <t>ROI in %</t>
  </si>
  <si>
    <t>Quellen Kundenzufriedenheit</t>
  </si>
  <si>
    <t>2021 S.84</t>
  </si>
  <si>
    <t>2023 S.77</t>
  </si>
  <si>
    <t>2024 S.138</t>
  </si>
  <si>
    <t>2025 S.55</t>
  </si>
  <si>
    <t>Kundenzufriedenheit (CSI) in %</t>
  </si>
  <si>
    <t>Leerstandsquote in %</t>
  </si>
  <si>
    <t>Mietsteigerung organisch in %</t>
  </si>
  <si>
    <t>Anzahl neu gebauter Einheiten</t>
  </si>
  <si>
    <t>Mitarbeiterzufriedenheit</t>
  </si>
  <si>
    <t>Bewirtschaftete Einheiten pro Mitarbeiter</t>
  </si>
  <si>
    <t>Adjusted EBITDA Total</t>
  </si>
  <si>
    <t>Instandhaltungsaufwand (€/m²)</t>
  </si>
  <si>
    <t>Grand Total</t>
  </si>
  <si>
    <t>Sum of ROI in %</t>
  </si>
  <si>
    <t>Sum of LTV in %</t>
  </si>
  <si>
    <t>Sum of Adjusted EBITDA Total</t>
  </si>
  <si>
    <t>Sum of Kundenzufriedenheit (CSI) in %</t>
  </si>
  <si>
    <t>Sum of Leerstandsquote in %</t>
  </si>
  <si>
    <t>Sum of Mietsteigerung organisch in %</t>
  </si>
  <si>
    <t>Gesamtsumme Instandhaltung/Modernisierung</t>
  </si>
  <si>
    <t>CO₂-Intensität in kg CO₂e/m²</t>
  </si>
  <si>
    <t>Sum of Gesamtsumme Instandhaltung/Modernisierung</t>
  </si>
  <si>
    <t>Sum of Instandhaltungsaufwand (€/m²)</t>
  </si>
  <si>
    <t>Sum of Anzahl neu gebauter Einheiten</t>
  </si>
  <si>
    <t>Sum of CO₂-Intensität in kg CO₂e/m²</t>
  </si>
  <si>
    <t>Row Labels</t>
  </si>
  <si>
    <t>Count of Bewirtschaftete Einheiten pro Mitarbeiter</t>
  </si>
  <si>
    <t>Sum of Bewirtschaftete Einheiten pro Mitarbeiter</t>
  </si>
  <si>
    <t>Min. of Mitarbeiterzufriedenheit</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</si>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</sst>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5" formatCode="#,##0\ &quot;€&quot;"/>
  </numFmts>
  <fonts count="2" x14ac:knownFonts="1">
    <font>
      <sz val="12"/>
      <color theme="1"/>
      <name val="Aptos Narrow"/>
      <family val="2"/>
      <scheme val="minor"/>
    </font>
    <font>
      <sz val="72"/>
      <color theme="0"/>
      <name val="Aptos Narrow"/>
      <family val="2"/>
      <scheme val="minor"/>
    </font>
  </fonts>
  <fills count="3">
    <fill>
      <patternFill patternType="none"/>
    </fill>
    <fill>
      <patternFill patternType="gray125"/>
    </fill>
    <fill>
      <patternFill patternType="solid">
        <fgColor theme="2" tint="-0.749992370372631"/>
        <bgColor indexed="64"/>
      </patternFill>
    </fill>
  </fills>
  <borders count="1">
    <border>
      <left/>
      <right/>
      <top/>
      <bottom/>
      <diagonal/>
    </border>
  </borders>
  <cellStyleXfs count="1">
    <xf numFmtId="0" fontId="0" fillId="0" borderId="0"/>
  </cellStyleXfs>
  <cellXfs count="10">
    <xf numFmtId="0" fontId="0" fillId="0" borderId="0" xfId="0"/>
    <xf numFmtId="10" fontId="0" fillId="0" borderId="0" xfId="0" applyNumberFormat="1"/>
    <xf numFmtId="9" fontId="0" fillId="0" borderId="0" xfId="0" applyNumberFormat="1"/>
    <xf numFmtId="0" fontId="0" fillId="0" borderId="0" xfId="0" pivotButton="1"/>
    <xf numFmtId="165" fontId="0" fillId="0" borderId="0" xfId="0" applyNumberFormat="1"/>
    <xf numFmtId="0" fontId="0" fillId="0" borderId="0" xfId="0" applyAlignment="1">
      <alignment horizontal="left"/>
    </xf>
    <xf numFmtId="0" fontId="0" fillId="0" borderId="0" xfId="0" applyNumberFormat="1"/>
    <xf numFmtId="0" fontId="0" fillId="2" borderId="0" xfId="0" applyFill="1"/>
    <xf numFmtId="0" fontId="1" fillId="2" borderId="0" xfId="0" applyFont="1" applyFill="1" applyAlignment="1">
      <alignment vertical="center"/>
    </xf>
    <xf numFmtId="43" fontId="0" fillId="0" borderId="0" xfId="0" applyNumberFormat="1"/>
  </cellXfs>
  <cellStyles count="1">
    <cellStyle name="Normal" xfId="0" builtinId="0"/>
  </cellStyles>
  <dxfs count="8">
    <dxf>
      <numFmt numFmtId="35" formatCode="_-* #,##0.00_-;\-* #,##0.00_-;_-* &quot;-&quot;??_-;_-@_-"/>
    </dxf>
    <dxf>
      <numFmt numFmtId="35" formatCode="_-* #,##0.00_-;\-* #,##0.00_-;_-* &quot;-&quot;??_-;_-@_-"/>
    </dxf>
    <dxf>
      <numFmt numFmtId="0" formatCode="General"/>
    </dxf>
    <dxf>
      <numFmt numFmtId="0" formatCode="General"/>
    </dxf>
    <dxf>
      <font>
        <color theme="3"/>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Dashboard" pivot="0" table="0" count="10" xr9:uid="{3B652199-5835-A642-A53B-64313F011CA3}">
      <tableStyleElement type="wholeTable" dxfId="5"/>
      <tableStyleElement type="headerRow" dxfId="4"/>
    </tableStyle>
    <tableStyle name="SlicerStyleDark1 2" pivot="0" table="0" count="10" xr9:uid="{5472629C-5CA3-B047-A9E0-DF147B435016}">
      <tableStyleElement type="wholeTable" dxfId="7"/>
      <tableStyleElement type="headerRow" dxfId="6"/>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Dashboar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LTV 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'.'!$B$3</c:f>
              <c:strCache>
                <c:ptCount val="1"/>
                <c:pt idx="0">
                  <c:v>Total</c:v>
                </c:pt>
              </c:strCache>
            </c:strRef>
          </c:tx>
          <c:spPr>
            <a:ln w="28575" cap="rnd">
              <a:solidFill>
                <a:schemeClr val="accent1"/>
              </a:solidFill>
              <a:round/>
            </a:ln>
            <a:effectLst/>
          </c:spPr>
          <c:marker>
            <c:symbol val="none"/>
          </c:marker>
          <c:cat>
            <c:strRef>
              <c:f>'.'!$A$4:$A$11</c:f>
              <c:strCache>
                <c:ptCount val="7"/>
                <c:pt idx="0">
                  <c:v>2019</c:v>
                </c:pt>
                <c:pt idx="1">
                  <c:v>2020</c:v>
                </c:pt>
                <c:pt idx="2">
                  <c:v>2021</c:v>
                </c:pt>
                <c:pt idx="3">
                  <c:v>2022</c:v>
                </c:pt>
                <c:pt idx="4">
                  <c:v>2023</c:v>
                </c:pt>
                <c:pt idx="5">
                  <c:v>2024</c:v>
                </c:pt>
                <c:pt idx="6">
                  <c:v>2025</c:v>
                </c:pt>
              </c:strCache>
            </c:strRef>
          </c:cat>
          <c:val>
            <c:numRef>
              <c:f>'.'!$B$4:$B$11</c:f>
              <c:numCache>
                <c:formatCode>General</c:formatCode>
                <c:ptCount val="7"/>
                <c:pt idx="0">
                  <c:v>43.1</c:v>
                </c:pt>
                <c:pt idx="1">
                  <c:v>39.4</c:v>
                </c:pt>
                <c:pt idx="2">
                  <c:v>45.4</c:v>
                </c:pt>
                <c:pt idx="3">
                  <c:v>45.1</c:v>
                </c:pt>
                <c:pt idx="4">
                  <c:v>47.3</c:v>
                </c:pt>
                <c:pt idx="5">
                  <c:v>47.7</c:v>
                </c:pt>
                <c:pt idx="6">
                  <c:v>45.4</c:v>
                </c:pt>
              </c:numCache>
            </c:numRef>
          </c:val>
          <c:smooth val="0"/>
          <c:extLst>
            <c:ext xmlns:c16="http://schemas.microsoft.com/office/drawing/2014/chart" uri="{C3380CC4-5D6E-409C-BE32-E72D297353CC}">
              <c16:uniqueId val="{00000000-23EC-0049-BCA2-3DC5C72AD466}"/>
            </c:ext>
          </c:extLst>
        </c:ser>
        <c:dLbls>
          <c:showLegendKey val="0"/>
          <c:showVal val="0"/>
          <c:showCatName val="0"/>
          <c:showSerName val="0"/>
          <c:showPercent val="0"/>
          <c:showBubbleSize val="0"/>
        </c:dLbls>
        <c:smooth val="0"/>
        <c:axId val="984567743"/>
        <c:axId val="984576255"/>
      </c:lineChart>
      <c:catAx>
        <c:axId val="98456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984576255"/>
        <c:crosses val="autoZero"/>
        <c:auto val="1"/>
        <c:lblAlgn val="ctr"/>
        <c:lblOffset val="100"/>
        <c:noMultiLvlLbl val="0"/>
      </c:catAx>
      <c:valAx>
        <c:axId val="984576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98456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Adjusted EBITDA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'.'!$B$31</c:f>
              <c:strCache>
                <c:ptCount val="1"/>
                <c:pt idx="0">
                  <c:v>Total</c:v>
                </c:pt>
              </c:strCache>
            </c:strRef>
          </c:tx>
          <c:spPr>
            <a:solidFill>
              <a:schemeClr val="accent1"/>
            </a:solidFill>
            <a:ln>
              <a:noFill/>
            </a:ln>
            <a:effectLst/>
          </c:spPr>
          <c:invertIfNegative val="0"/>
          <c:cat>
            <c:strRef>
              <c:f>'.'!$A$32:$A$39</c:f>
              <c:strCache>
                <c:ptCount val="7"/>
                <c:pt idx="0">
                  <c:v>2019</c:v>
                </c:pt>
                <c:pt idx="1">
                  <c:v>2020</c:v>
                </c:pt>
                <c:pt idx="2">
                  <c:v>2021</c:v>
                </c:pt>
                <c:pt idx="3">
                  <c:v>2022</c:v>
                </c:pt>
                <c:pt idx="4">
                  <c:v>2023</c:v>
                </c:pt>
                <c:pt idx="5">
                  <c:v>2024</c:v>
                </c:pt>
                <c:pt idx="6">
                  <c:v>2025</c:v>
                </c:pt>
              </c:strCache>
            </c:strRef>
          </c:cat>
          <c:val>
            <c:numRef>
              <c:f>'.'!$B$32:$B$39</c:f>
              <c:numCache>
                <c:formatCode>General</c:formatCode>
                <c:ptCount val="7"/>
                <c:pt idx="0">
                  <c:v>1760.1</c:v>
                </c:pt>
                <c:pt idx="1">
                  <c:v>1909.8</c:v>
                </c:pt>
                <c:pt idx="2">
                  <c:v>2254.4</c:v>
                </c:pt>
                <c:pt idx="3">
                  <c:v>2606.1</c:v>
                </c:pt>
                <c:pt idx="4">
                  <c:v>2583.8000000000002</c:v>
                </c:pt>
                <c:pt idx="5">
                  <c:v>2641.8</c:v>
                </c:pt>
                <c:pt idx="6">
                  <c:v>2800.8</c:v>
                </c:pt>
              </c:numCache>
            </c:numRef>
          </c:val>
          <c:extLst>
            <c:ext xmlns:c16="http://schemas.microsoft.com/office/drawing/2014/chart" uri="{C3380CC4-5D6E-409C-BE32-E72D297353CC}">
              <c16:uniqueId val="{00000000-8F8C-3D44-93B5-F3B8806F1B5C}"/>
            </c:ext>
          </c:extLst>
        </c:ser>
        <c:dLbls>
          <c:showLegendKey val="0"/>
          <c:showVal val="0"/>
          <c:showCatName val="0"/>
          <c:showSerName val="0"/>
          <c:showPercent val="0"/>
          <c:showBubbleSize val="0"/>
        </c:dLbls>
        <c:gapWidth val="219"/>
        <c:overlap val="-27"/>
        <c:axId val="984550015"/>
        <c:axId val="984551807"/>
      </c:barChart>
      <c:catAx>
        <c:axId val="98455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984551807"/>
        <c:crosses val="autoZero"/>
        <c:auto val="1"/>
        <c:lblAlgn val="ctr"/>
        <c:lblOffset val="100"/>
        <c:noMultiLvlLbl val="0"/>
      </c:catAx>
      <c:valAx>
        <c:axId val="984551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98455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ROI 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'.'!$B$51</c:f>
              <c:strCache>
                <c:ptCount val="1"/>
                <c:pt idx="0">
                  <c:v>Total</c:v>
                </c:pt>
              </c:strCache>
            </c:strRef>
          </c:tx>
          <c:spPr>
            <a:ln w="28575" cap="rnd">
              <a:solidFill>
                <a:schemeClr val="accent1"/>
              </a:solidFill>
              <a:round/>
            </a:ln>
            <a:effectLst/>
          </c:spPr>
          <c:marker>
            <c:symbol val="none"/>
          </c:marker>
          <c:cat>
            <c:strRef>
              <c:f>'.'!$A$52:$A$59</c:f>
              <c:strCache>
                <c:ptCount val="7"/>
                <c:pt idx="0">
                  <c:v>2019</c:v>
                </c:pt>
                <c:pt idx="1">
                  <c:v>2020</c:v>
                </c:pt>
                <c:pt idx="2">
                  <c:v>2021</c:v>
                </c:pt>
                <c:pt idx="3">
                  <c:v>2022</c:v>
                </c:pt>
                <c:pt idx="4">
                  <c:v>2023</c:v>
                </c:pt>
                <c:pt idx="5">
                  <c:v>2024</c:v>
                </c:pt>
                <c:pt idx="6">
                  <c:v>2025</c:v>
                </c:pt>
              </c:strCache>
            </c:strRef>
          </c:cat>
          <c:val>
            <c:numRef>
              <c:f>'.'!$B$52:$B$59</c:f>
              <c:numCache>
                <c:formatCode>General</c:formatCode>
                <c:ptCount val="7"/>
                <c:pt idx="0">
                  <c:v>2.29</c:v>
                </c:pt>
                <c:pt idx="1">
                  <c:v>5.35</c:v>
                </c:pt>
                <c:pt idx="2">
                  <c:v>2.2999999999999998</c:v>
                </c:pt>
                <c:pt idx="3">
                  <c:v>-0.66</c:v>
                </c:pt>
                <c:pt idx="4">
                  <c:v>-7.34</c:v>
                </c:pt>
                <c:pt idx="5">
                  <c:v>-1.07</c:v>
                </c:pt>
                <c:pt idx="6">
                  <c:v>4.49</c:v>
                </c:pt>
              </c:numCache>
            </c:numRef>
          </c:val>
          <c:smooth val="0"/>
          <c:extLst>
            <c:ext xmlns:c16="http://schemas.microsoft.com/office/drawing/2014/chart" uri="{C3380CC4-5D6E-409C-BE32-E72D297353CC}">
              <c16:uniqueId val="{00000000-8227-0B45-9D35-E2659ECD0463}"/>
            </c:ext>
          </c:extLst>
        </c:ser>
        <c:dLbls>
          <c:showLegendKey val="0"/>
          <c:showVal val="0"/>
          <c:showCatName val="0"/>
          <c:showSerName val="0"/>
          <c:showPercent val="0"/>
          <c:showBubbleSize val="0"/>
        </c:dLbls>
        <c:smooth val="0"/>
        <c:axId val="856513087"/>
        <c:axId val="856514879"/>
      </c:lineChart>
      <c:catAx>
        <c:axId val="85651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56514879"/>
        <c:crosses val="autoZero"/>
        <c:auto val="1"/>
        <c:lblAlgn val="ctr"/>
        <c:lblOffset val="100"/>
        <c:noMultiLvlLbl val="0"/>
      </c:catAx>
      <c:valAx>
        <c:axId val="856514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56513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Kundenzufriedenheit (CSI) 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'.'!$B$68</c:f>
              <c:strCache>
                <c:ptCount val="1"/>
                <c:pt idx="0">
                  <c:v>Total</c:v>
                </c:pt>
              </c:strCache>
            </c:strRef>
          </c:tx>
          <c:spPr>
            <a:ln w="28575" cap="rnd">
              <a:solidFill>
                <a:schemeClr val="accent1"/>
              </a:solidFill>
              <a:round/>
            </a:ln>
            <a:effectLst/>
          </c:spPr>
          <c:marker>
            <c:symbol val="none"/>
          </c:marker>
          <c:cat>
            <c:strRef>
              <c:f>'.'!$A$69:$A$76</c:f>
              <c:strCache>
                <c:ptCount val="7"/>
                <c:pt idx="0">
                  <c:v>2019</c:v>
                </c:pt>
                <c:pt idx="1">
                  <c:v>2020</c:v>
                </c:pt>
                <c:pt idx="2">
                  <c:v>2021</c:v>
                </c:pt>
                <c:pt idx="3">
                  <c:v>2022</c:v>
                </c:pt>
                <c:pt idx="4">
                  <c:v>2023</c:v>
                </c:pt>
                <c:pt idx="5">
                  <c:v>2024</c:v>
                </c:pt>
                <c:pt idx="6">
                  <c:v>2025</c:v>
                </c:pt>
              </c:strCache>
            </c:strRef>
          </c:cat>
          <c:val>
            <c:numRef>
              <c:f>'.'!$B$69:$B$76</c:f>
              <c:numCache>
                <c:formatCode>General</c:formatCode>
                <c:ptCount val="7"/>
                <c:pt idx="0">
                  <c:v>61.2</c:v>
                </c:pt>
                <c:pt idx="1">
                  <c:v>69.8</c:v>
                </c:pt>
                <c:pt idx="2">
                  <c:v>74.3</c:v>
                </c:pt>
                <c:pt idx="3">
                  <c:v>75.599999999999994</c:v>
                </c:pt>
                <c:pt idx="4">
                  <c:v>72.400000000000006</c:v>
                </c:pt>
                <c:pt idx="5">
                  <c:v>75.2</c:v>
                </c:pt>
                <c:pt idx="6">
                  <c:v>76.5</c:v>
                </c:pt>
              </c:numCache>
            </c:numRef>
          </c:val>
          <c:smooth val="0"/>
          <c:extLst>
            <c:ext xmlns:c16="http://schemas.microsoft.com/office/drawing/2014/chart" uri="{C3380CC4-5D6E-409C-BE32-E72D297353CC}">
              <c16:uniqueId val="{00000000-880F-244D-A83D-02DC28D655C4}"/>
            </c:ext>
          </c:extLst>
        </c:ser>
        <c:dLbls>
          <c:showLegendKey val="0"/>
          <c:showVal val="0"/>
          <c:showCatName val="0"/>
          <c:showSerName val="0"/>
          <c:showPercent val="0"/>
          <c:showBubbleSize val="0"/>
        </c:dLbls>
        <c:smooth val="0"/>
        <c:axId val="857216255"/>
        <c:axId val="857222975"/>
      </c:lineChart>
      <c:catAx>
        <c:axId val="85721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57222975"/>
        <c:crosses val="autoZero"/>
        <c:auto val="1"/>
        <c:lblAlgn val="ctr"/>
        <c:lblOffset val="100"/>
        <c:noMultiLvlLbl val="0"/>
      </c:catAx>
      <c:valAx>
        <c:axId val="857222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57216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Leerstandsquote</a:t>
            </a:r>
            <a:r>
              <a:rPr lang="en-GB" b="1" baseline="0">
                <a:solidFill>
                  <a:schemeClr val="tx1"/>
                </a:solidFill>
              </a:rPr>
              <a:t> in %</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'.'!$B$91</c:f>
              <c:strCache>
                <c:ptCount val="1"/>
                <c:pt idx="0">
                  <c:v>Total</c:v>
                </c:pt>
              </c:strCache>
            </c:strRef>
          </c:tx>
          <c:spPr>
            <a:solidFill>
              <a:schemeClr val="accent1"/>
            </a:solidFill>
            <a:ln>
              <a:noFill/>
            </a:ln>
            <a:effectLst/>
          </c:spPr>
          <c:invertIfNegative val="0"/>
          <c:cat>
            <c:strRef>
              <c:f>'.'!$A$92:$A$99</c:f>
              <c:strCache>
                <c:ptCount val="7"/>
                <c:pt idx="0">
                  <c:v>2019</c:v>
                </c:pt>
                <c:pt idx="1">
                  <c:v>2020</c:v>
                </c:pt>
                <c:pt idx="2">
                  <c:v>2021</c:v>
                </c:pt>
                <c:pt idx="3">
                  <c:v>2022</c:v>
                </c:pt>
                <c:pt idx="4">
                  <c:v>2023</c:v>
                </c:pt>
                <c:pt idx="5">
                  <c:v>2024</c:v>
                </c:pt>
                <c:pt idx="6">
                  <c:v>2025</c:v>
                </c:pt>
              </c:strCache>
            </c:strRef>
          </c:cat>
          <c:val>
            <c:numRef>
              <c:f>'.'!$B$92:$B$99</c:f>
              <c:numCache>
                <c:formatCode>General</c:formatCode>
                <c:ptCount val="7"/>
                <c:pt idx="0">
                  <c:v>2.6</c:v>
                </c:pt>
                <c:pt idx="1">
                  <c:v>2.4</c:v>
                </c:pt>
                <c:pt idx="2">
                  <c:v>2.2000000000000002</c:v>
                </c:pt>
                <c:pt idx="3">
                  <c:v>2</c:v>
                </c:pt>
                <c:pt idx="4">
                  <c:v>2</c:v>
                </c:pt>
                <c:pt idx="5">
                  <c:v>2</c:v>
                </c:pt>
                <c:pt idx="6">
                  <c:v>2.1</c:v>
                </c:pt>
              </c:numCache>
            </c:numRef>
          </c:val>
          <c:extLst>
            <c:ext xmlns:c16="http://schemas.microsoft.com/office/drawing/2014/chart" uri="{C3380CC4-5D6E-409C-BE32-E72D297353CC}">
              <c16:uniqueId val="{00000000-4F39-F440-A442-4B183958E0A8}"/>
            </c:ext>
          </c:extLst>
        </c:ser>
        <c:dLbls>
          <c:showLegendKey val="0"/>
          <c:showVal val="0"/>
          <c:showCatName val="0"/>
          <c:showSerName val="0"/>
          <c:showPercent val="0"/>
          <c:showBubbleSize val="0"/>
        </c:dLbls>
        <c:gapWidth val="219"/>
        <c:overlap val="-27"/>
        <c:axId val="857645375"/>
        <c:axId val="857643135"/>
      </c:barChart>
      <c:catAx>
        <c:axId val="85764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57643135"/>
        <c:crosses val="autoZero"/>
        <c:auto val="1"/>
        <c:lblAlgn val="ctr"/>
        <c:lblOffset val="100"/>
        <c:noMultiLvlLbl val="0"/>
      </c:catAx>
      <c:valAx>
        <c:axId val="85764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5764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Mietsteigerung organisch 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'.'!$B$106</c:f>
              <c:strCache>
                <c:ptCount val="1"/>
                <c:pt idx="0">
                  <c:v>Total</c:v>
                </c:pt>
              </c:strCache>
            </c:strRef>
          </c:tx>
          <c:spPr>
            <a:ln w="28575" cap="rnd">
              <a:solidFill>
                <a:schemeClr val="accent1"/>
              </a:solidFill>
              <a:round/>
            </a:ln>
            <a:effectLst/>
          </c:spPr>
          <c:marker>
            <c:symbol val="none"/>
          </c:marker>
          <c:cat>
            <c:strRef>
              <c:f>'.'!$A$107:$A$114</c:f>
              <c:strCache>
                <c:ptCount val="7"/>
                <c:pt idx="0">
                  <c:v>2019</c:v>
                </c:pt>
                <c:pt idx="1">
                  <c:v>2020</c:v>
                </c:pt>
                <c:pt idx="2">
                  <c:v>2021</c:v>
                </c:pt>
                <c:pt idx="3">
                  <c:v>2022</c:v>
                </c:pt>
                <c:pt idx="4">
                  <c:v>2023</c:v>
                </c:pt>
                <c:pt idx="5">
                  <c:v>2024</c:v>
                </c:pt>
                <c:pt idx="6">
                  <c:v>2025</c:v>
                </c:pt>
              </c:strCache>
            </c:strRef>
          </c:cat>
          <c:val>
            <c:numRef>
              <c:f>'.'!$B$107:$B$114</c:f>
              <c:numCache>
                <c:formatCode>General</c:formatCode>
                <c:ptCount val="7"/>
                <c:pt idx="0">
                  <c:v>3.9</c:v>
                </c:pt>
                <c:pt idx="1">
                  <c:v>3.1</c:v>
                </c:pt>
                <c:pt idx="2">
                  <c:v>3.8</c:v>
                </c:pt>
                <c:pt idx="3">
                  <c:v>3.3</c:v>
                </c:pt>
                <c:pt idx="4">
                  <c:v>3.8</c:v>
                </c:pt>
                <c:pt idx="5">
                  <c:v>4.0999999999999996</c:v>
                </c:pt>
                <c:pt idx="6">
                  <c:v>4.0999999999999996</c:v>
                </c:pt>
              </c:numCache>
            </c:numRef>
          </c:val>
          <c:smooth val="0"/>
          <c:extLst>
            <c:ext xmlns:c16="http://schemas.microsoft.com/office/drawing/2014/chart" uri="{C3380CC4-5D6E-409C-BE32-E72D297353CC}">
              <c16:uniqueId val="{00000000-61B1-9940-8503-CABF73C5E568}"/>
            </c:ext>
          </c:extLst>
        </c:ser>
        <c:dLbls>
          <c:showLegendKey val="0"/>
          <c:showVal val="0"/>
          <c:showCatName val="0"/>
          <c:showSerName val="0"/>
          <c:showPercent val="0"/>
          <c:showBubbleSize val="0"/>
        </c:dLbls>
        <c:smooth val="0"/>
        <c:axId val="790315903"/>
        <c:axId val="856521599"/>
      </c:lineChart>
      <c:catAx>
        <c:axId val="79031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56521599"/>
        <c:crosses val="autoZero"/>
        <c:auto val="1"/>
        <c:lblAlgn val="ctr"/>
        <c:lblOffset val="100"/>
        <c:noMultiLvlLbl val="0"/>
      </c:catAx>
      <c:valAx>
        <c:axId val="856521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790315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Gesamtsumme Instandhaltung/Modernisierung in Mio.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'.'!$B$116</c:f>
              <c:strCache>
                <c:ptCount val="1"/>
                <c:pt idx="0">
                  <c:v>Total</c:v>
                </c:pt>
              </c:strCache>
            </c:strRef>
          </c:tx>
          <c:spPr>
            <a:solidFill>
              <a:schemeClr val="accent1"/>
            </a:solidFill>
            <a:ln>
              <a:noFill/>
            </a:ln>
            <a:effectLst/>
          </c:spPr>
          <c:invertIfNegative val="0"/>
          <c:cat>
            <c:strRef>
              <c:f>'.'!$A$117:$A$124</c:f>
              <c:strCache>
                <c:ptCount val="7"/>
                <c:pt idx="0">
                  <c:v>2019</c:v>
                </c:pt>
                <c:pt idx="1">
                  <c:v>2020</c:v>
                </c:pt>
                <c:pt idx="2">
                  <c:v>2021</c:v>
                </c:pt>
                <c:pt idx="3">
                  <c:v>2022</c:v>
                </c:pt>
                <c:pt idx="4">
                  <c:v>2023</c:v>
                </c:pt>
                <c:pt idx="5">
                  <c:v>2024</c:v>
                </c:pt>
                <c:pt idx="6">
                  <c:v>2025</c:v>
                </c:pt>
              </c:strCache>
            </c:strRef>
          </c:cat>
          <c:val>
            <c:numRef>
              <c:f>'.'!$B$117:$B$124</c:f>
              <c:numCache>
                <c:formatCode>#,##0\ "€"</c:formatCode>
                <c:ptCount val="7"/>
                <c:pt idx="0">
                  <c:v>1971.1</c:v>
                </c:pt>
                <c:pt idx="1">
                  <c:v>1935.9</c:v>
                </c:pt>
                <c:pt idx="2">
                  <c:v>2185.6</c:v>
                </c:pt>
                <c:pt idx="3">
                  <c:v>2266.3000000000002</c:v>
                </c:pt>
                <c:pt idx="4">
                  <c:v>1527</c:v>
                </c:pt>
                <c:pt idx="5">
                  <c:v>1601</c:v>
                </c:pt>
                <c:pt idx="6">
                  <c:v>1972.7</c:v>
                </c:pt>
              </c:numCache>
            </c:numRef>
          </c:val>
          <c:extLst>
            <c:ext xmlns:c16="http://schemas.microsoft.com/office/drawing/2014/chart" uri="{C3380CC4-5D6E-409C-BE32-E72D297353CC}">
              <c16:uniqueId val="{00000000-5542-9342-BDD3-361698019DF3}"/>
            </c:ext>
          </c:extLst>
        </c:ser>
        <c:dLbls>
          <c:showLegendKey val="0"/>
          <c:showVal val="0"/>
          <c:showCatName val="0"/>
          <c:showSerName val="0"/>
          <c:showPercent val="0"/>
          <c:showBubbleSize val="0"/>
        </c:dLbls>
        <c:gapWidth val="219"/>
        <c:overlap val="-27"/>
        <c:axId val="789976319"/>
        <c:axId val="789971391"/>
      </c:barChart>
      <c:catAx>
        <c:axId val="78997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789971391"/>
        <c:crosses val="autoZero"/>
        <c:auto val="1"/>
        <c:lblAlgn val="ctr"/>
        <c:lblOffset val="100"/>
        <c:noMultiLvlLbl val="0"/>
      </c:catAx>
      <c:valAx>
        <c:axId val="789971391"/>
        <c:scaling>
          <c:orientation val="minMax"/>
        </c:scaling>
        <c:delete val="0"/>
        <c:axPos val="l"/>
        <c:majorGridlines>
          <c:spPr>
            <a:ln w="9525" cap="flat" cmpd="sng" algn="ctr">
              <a:solidFill>
                <a:schemeClr val="tx1">
                  <a:lumMod val="15000"/>
                  <a:lumOff val="85000"/>
                </a:schemeClr>
              </a:solidFill>
              <a:round/>
            </a:ln>
            <a:effectLst/>
          </c:spPr>
        </c:majorGridlines>
        <c:numFmt formatCode="#,##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78997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Instandhaltungsaufwand (€/m²)</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'.'!$B$134</c:f>
              <c:strCache>
                <c:ptCount val="1"/>
                <c:pt idx="0">
                  <c:v>Total</c:v>
                </c:pt>
              </c:strCache>
            </c:strRef>
          </c:tx>
          <c:spPr>
            <a:ln w="28575" cap="rnd">
              <a:solidFill>
                <a:schemeClr val="accent1"/>
              </a:solidFill>
              <a:round/>
            </a:ln>
            <a:effectLst/>
          </c:spPr>
          <c:marker>
            <c:symbol val="none"/>
          </c:marker>
          <c:cat>
            <c:strRef>
              <c:f>'.'!$A$135:$A$142</c:f>
              <c:strCache>
                <c:ptCount val="7"/>
                <c:pt idx="0">
                  <c:v>2019</c:v>
                </c:pt>
                <c:pt idx="1">
                  <c:v>2020</c:v>
                </c:pt>
                <c:pt idx="2">
                  <c:v>2021</c:v>
                </c:pt>
                <c:pt idx="3">
                  <c:v>2022</c:v>
                </c:pt>
                <c:pt idx="4">
                  <c:v>2023</c:v>
                </c:pt>
                <c:pt idx="5">
                  <c:v>2024</c:v>
                </c:pt>
                <c:pt idx="6">
                  <c:v>2025</c:v>
                </c:pt>
              </c:strCache>
            </c:strRef>
          </c:cat>
          <c:val>
            <c:numRef>
              <c:f>'.'!$B$135:$B$142</c:f>
              <c:numCache>
                <c:formatCode>General</c:formatCode>
                <c:ptCount val="7"/>
                <c:pt idx="0">
                  <c:v>12.2</c:v>
                </c:pt>
                <c:pt idx="1">
                  <c:v>12.1</c:v>
                </c:pt>
                <c:pt idx="2">
                  <c:v>13.01</c:v>
                </c:pt>
                <c:pt idx="3">
                  <c:v>12.86</c:v>
                </c:pt>
                <c:pt idx="4">
                  <c:v>12.41</c:v>
                </c:pt>
                <c:pt idx="5">
                  <c:v>13.82</c:v>
                </c:pt>
                <c:pt idx="6">
                  <c:v>14.46</c:v>
                </c:pt>
              </c:numCache>
            </c:numRef>
          </c:val>
          <c:smooth val="0"/>
          <c:extLst>
            <c:ext xmlns:c16="http://schemas.microsoft.com/office/drawing/2014/chart" uri="{C3380CC4-5D6E-409C-BE32-E72D297353CC}">
              <c16:uniqueId val="{00000000-5A04-9143-AF31-1011122F04C2}"/>
            </c:ext>
          </c:extLst>
        </c:ser>
        <c:dLbls>
          <c:showLegendKey val="0"/>
          <c:showVal val="0"/>
          <c:showCatName val="0"/>
          <c:showSerName val="0"/>
          <c:showPercent val="0"/>
          <c:showBubbleSize val="0"/>
        </c:dLbls>
        <c:smooth val="0"/>
        <c:axId val="921773247"/>
        <c:axId val="921779071"/>
      </c:lineChart>
      <c:catAx>
        <c:axId val="92177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921779071"/>
        <c:crosses val="autoZero"/>
        <c:auto val="1"/>
        <c:lblAlgn val="ctr"/>
        <c:lblOffset val="100"/>
        <c:noMultiLvlLbl val="0"/>
      </c:catAx>
      <c:valAx>
        <c:axId val="92177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92177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Anzahl neu gebauter Einheiten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'.'!$B$149</c:f>
              <c:strCache>
                <c:ptCount val="1"/>
                <c:pt idx="0">
                  <c:v>Total</c:v>
                </c:pt>
              </c:strCache>
            </c:strRef>
          </c:tx>
          <c:spPr>
            <a:solidFill>
              <a:schemeClr val="accent1"/>
            </a:solidFill>
            <a:ln>
              <a:noFill/>
            </a:ln>
            <a:effectLst/>
          </c:spPr>
          <c:invertIfNegative val="0"/>
          <c:cat>
            <c:strRef>
              <c:f>'.'!$A$150:$A$157</c:f>
              <c:strCache>
                <c:ptCount val="7"/>
                <c:pt idx="0">
                  <c:v>2019</c:v>
                </c:pt>
                <c:pt idx="1">
                  <c:v>2020</c:v>
                </c:pt>
                <c:pt idx="2">
                  <c:v>2021</c:v>
                </c:pt>
                <c:pt idx="3">
                  <c:v>2022</c:v>
                </c:pt>
                <c:pt idx="4">
                  <c:v>2023</c:v>
                </c:pt>
                <c:pt idx="5">
                  <c:v>2024</c:v>
                </c:pt>
                <c:pt idx="6">
                  <c:v>2025</c:v>
                </c:pt>
              </c:strCache>
            </c:strRef>
          </c:cat>
          <c:val>
            <c:numRef>
              <c:f>'.'!$B$150:$B$157</c:f>
              <c:numCache>
                <c:formatCode>General</c:formatCode>
                <c:ptCount val="7"/>
                <c:pt idx="0">
                  <c:v>2092</c:v>
                </c:pt>
                <c:pt idx="1">
                  <c:v>2088</c:v>
                </c:pt>
                <c:pt idx="2">
                  <c:v>2200</c:v>
                </c:pt>
                <c:pt idx="3">
                  <c:v>3749</c:v>
                </c:pt>
                <c:pt idx="4">
                  <c:v>2460</c:v>
                </c:pt>
                <c:pt idx="5">
                  <c:v>3747</c:v>
                </c:pt>
                <c:pt idx="6">
                  <c:v>2090</c:v>
                </c:pt>
              </c:numCache>
            </c:numRef>
          </c:val>
          <c:extLst>
            <c:ext xmlns:c16="http://schemas.microsoft.com/office/drawing/2014/chart" uri="{C3380CC4-5D6E-409C-BE32-E72D297353CC}">
              <c16:uniqueId val="{00000000-DA1A-7F4C-8DF7-B5BA153A4A86}"/>
            </c:ext>
          </c:extLst>
        </c:ser>
        <c:dLbls>
          <c:showLegendKey val="0"/>
          <c:showVal val="0"/>
          <c:showCatName val="0"/>
          <c:showSerName val="0"/>
          <c:showPercent val="0"/>
          <c:showBubbleSize val="0"/>
        </c:dLbls>
        <c:gapWidth val="219"/>
        <c:overlap val="-27"/>
        <c:axId val="913750911"/>
        <c:axId val="913742399"/>
      </c:barChart>
      <c:catAx>
        <c:axId val="91375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913742399"/>
        <c:crosses val="autoZero"/>
        <c:auto val="1"/>
        <c:lblAlgn val="ctr"/>
        <c:lblOffset val="100"/>
        <c:noMultiLvlLbl val="0"/>
      </c:catAx>
      <c:valAx>
        <c:axId val="91374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913750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CO₂-Intensität in kg CO₂e/m²</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'.'!$B$167</c:f>
              <c:strCache>
                <c:ptCount val="1"/>
                <c:pt idx="0">
                  <c:v>Total</c:v>
                </c:pt>
              </c:strCache>
            </c:strRef>
          </c:tx>
          <c:spPr>
            <a:solidFill>
              <a:schemeClr val="accent1"/>
            </a:solidFill>
            <a:ln>
              <a:noFill/>
            </a:ln>
            <a:effectLst/>
          </c:spPr>
          <c:invertIfNegative val="0"/>
          <c:cat>
            <c:strRef>
              <c:f>'.'!$A$168:$A$175</c:f>
              <c:strCache>
                <c:ptCount val="7"/>
                <c:pt idx="0">
                  <c:v>2019</c:v>
                </c:pt>
                <c:pt idx="1">
                  <c:v>2020</c:v>
                </c:pt>
                <c:pt idx="2">
                  <c:v>2021</c:v>
                </c:pt>
                <c:pt idx="3">
                  <c:v>2022</c:v>
                </c:pt>
                <c:pt idx="4">
                  <c:v>2023</c:v>
                </c:pt>
                <c:pt idx="5">
                  <c:v>2024</c:v>
                </c:pt>
                <c:pt idx="6">
                  <c:v>2025</c:v>
                </c:pt>
              </c:strCache>
            </c:strRef>
          </c:cat>
          <c:val>
            <c:numRef>
              <c:f>'.'!$B$168:$B$175</c:f>
              <c:numCache>
                <c:formatCode>General</c:formatCode>
                <c:ptCount val="7"/>
                <c:pt idx="0">
                  <c:v>47.2</c:v>
                </c:pt>
                <c:pt idx="1">
                  <c:v>39.5</c:v>
                </c:pt>
                <c:pt idx="2">
                  <c:v>38.4</c:v>
                </c:pt>
                <c:pt idx="3">
                  <c:v>33</c:v>
                </c:pt>
                <c:pt idx="4">
                  <c:v>31.7</c:v>
                </c:pt>
                <c:pt idx="5">
                  <c:v>31.2</c:v>
                </c:pt>
                <c:pt idx="6">
                  <c:v>30.7</c:v>
                </c:pt>
              </c:numCache>
            </c:numRef>
          </c:val>
          <c:extLst>
            <c:ext xmlns:c16="http://schemas.microsoft.com/office/drawing/2014/chart" uri="{C3380CC4-5D6E-409C-BE32-E72D297353CC}">
              <c16:uniqueId val="{00000000-EDBA-2148-A878-D85AABEC7365}"/>
            </c:ext>
          </c:extLst>
        </c:ser>
        <c:dLbls>
          <c:showLegendKey val="0"/>
          <c:showVal val="0"/>
          <c:showCatName val="0"/>
          <c:showSerName val="0"/>
          <c:showPercent val="0"/>
          <c:showBubbleSize val="0"/>
        </c:dLbls>
        <c:gapWidth val="219"/>
        <c:overlap val="-27"/>
        <c:axId val="772237375"/>
        <c:axId val="767558527"/>
      </c:barChart>
      <c:catAx>
        <c:axId val="77223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767558527"/>
        <c:crosses val="autoZero"/>
        <c:auto val="1"/>
        <c:lblAlgn val="ctr"/>
        <c:lblOffset val="100"/>
        <c:noMultiLvlLbl val="0"/>
      </c:catAx>
      <c:valAx>
        <c:axId val="76755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77223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solidFill>
                  <a:schemeClr val="tx1"/>
                </a:solidFill>
              </a:rPr>
              <a:t>Mitarbeiterzufriedenheit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'.'!$B$179</c:f>
              <c:strCache>
                <c:ptCount val="1"/>
                <c:pt idx="0">
                  <c:v>Total</c:v>
                </c:pt>
              </c:strCache>
            </c:strRef>
          </c:tx>
          <c:spPr>
            <a:solidFill>
              <a:schemeClr val="accent1"/>
            </a:solidFill>
            <a:ln>
              <a:noFill/>
            </a:ln>
            <a:effectLst/>
          </c:spPr>
          <c:invertIfNegative val="0"/>
          <c:cat>
            <c:strRef>
              <c:f>'.'!$A$180:$A$187</c:f>
              <c:strCache>
                <c:ptCount val="7"/>
                <c:pt idx="0">
                  <c:v>2019</c:v>
                </c:pt>
                <c:pt idx="1">
                  <c:v>2020</c:v>
                </c:pt>
                <c:pt idx="2">
                  <c:v>2021</c:v>
                </c:pt>
                <c:pt idx="3">
                  <c:v>2022</c:v>
                </c:pt>
                <c:pt idx="4">
                  <c:v>2023</c:v>
                </c:pt>
                <c:pt idx="5">
                  <c:v>2024</c:v>
                </c:pt>
                <c:pt idx="6">
                  <c:v>2025</c:v>
                </c:pt>
              </c:strCache>
            </c:strRef>
          </c:cat>
          <c:val>
            <c:numRef>
              <c:f>'.'!$B$180:$B$187</c:f>
              <c:numCache>
                <c:formatCode>General</c:formatCode>
                <c:ptCount val="7"/>
                <c:pt idx="0">
                  <c:v>0</c:v>
                </c:pt>
                <c:pt idx="1">
                  <c:v>0</c:v>
                </c:pt>
                <c:pt idx="2">
                  <c:v>0</c:v>
                </c:pt>
                <c:pt idx="3">
                  <c:v>0</c:v>
                </c:pt>
                <c:pt idx="4">
                  <c:v>0</c:v>
                </c:pt>
                <c:pt idx="5">
                  <c:v>0.75</c:v>
                </c:pt>
                <c:pt idx="6">
                  <c:v>0.77</c:v>
                </c:pt>
              </c:numCache>
            </c:numRef>
          </c:val>
          <c:extLst>
            <c:ext xmlns:c16="http://schemas.microsoft.com/office/drawing/2014/chart" uri="{C3380CC4-5D6E-409C-BE32-E72D297353CC}">
              <c16:uniqueId val="{00000000-A72F-5148-ABD4-072BD17CC1D6}"/>
            </c:ext>
          </c:extLst>
        </c:ser>
        <c:dLbls>
          <c:showLegendKey val="0"/>
          <c:showVal val="0"/>
          <c:showCatName val="0"/>
          <c:showSerName val="0"/>
          <c:showPercent val="0"/>
          <c:showBubbleSize val="0"/>
        </c:dLbls>
        <c:gapWidth val="219"/>
        <c:overlap val="-27"/>
        <c:axId val="790207487"/>
        <c:axId val="872810239"/>
      </c:barChart>
      <c:catAx>
        <c:axId val="79020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72810239"/>
        <c:crosses val="autoZero"/>
        <c:auto val="1"/>
        <c:lblAlgn val="ctr"/>
        <c:lblOffset val="100"/>
        <c:noMultiLvlLbl val="0"/>
      </c:catAx>
      <c:valAx>
        <c:axId val="872810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79020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Bewirtschaftete Einheiten pro Mitarbeiter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'.'!$B$208</c:f>
              <c:strCache>
                <c:ptCount val="1"/>
                <c:pt idx="0">
                  <c:v>Total</c:v>
                </c:pt>
              </c:strCache>
            </c:strRef>
          </c:tx>
          <c:spPr>
            <a:solidFill>
              <a:schemeClr val="accent1"/>
            </a:solidFill>
            <a:ln>
              <a:noFill/>
            </a:ln>
            <a:effectLst/>
          </c:spPr>
          <c:invertIfNegative val="0"/>
          <c:cat>
            <c:strRef>
              <c:f>'.'!$A$209:$A$216</c:f>
              <c:strCache>
                <c:ptCount val="7"/>
                <c:pt idx="0">
                  <c:v>2019</c:v>
                </c:pt>
                <c:pt idx="1">
                  <c:v>2020</c:v>
                </c:pt>
                <c:pt idx="2">
                  <c:v>2021</c:v>
                </c:pt>
                <c:pt idx="3">
                  <c:v>2022</c:v>
                </c:pt>
                <c:pt idx="4">
                  <c:v>2023</c:v>
                </c:pt>
                <c:pt idx="5">
                  <c:v>2024</c:v>
                </c:pt>
                <c:pt idx="6">
                  <c:v>2025</c:v>
                </c:pt>
              </c:strCache>
            </c:strRef>
          </c:cat>
          <c:val>
            <c:numRef>
              <c:f>'.'!$B$209:$B$216</c:f>
              <c:numCache>
                <c:formatCode>General</c:formatCode>
                <c:ptCount val="7"/>
                <c:pt idx="0">
                  <c:v>47.8</c:v>
                </c:pt>
                <c:pt idx="1">
                  <c:v>46.1</c:v>
                </c:pt>
                <c:pt idx="2">
                  <c:v>40.1</c:v>
                </c:pt>
                <c:pt idx="3">
                  <c:v>51.3</c:v>
                </c:pt>
                <c:pt idx="4">
                  <c:v>51.7</c:v>
                </c:pt>
                <c:pt idx="5">
                  <c:v>50.9</c:v>
                </c:pt>
                <c:pt idx="6">
                  <c:v>47.8</c:v>
                </c:pt>
              </c:numCache>
            </c:numRef>
          </c:val>
          <c:extLst>
            <c:ext xmlns:c16="http://schemas.microsoft.com/office/drawing/2014/chart" uri="{C3380CC4-5D6E-409C-BE32-E72D297353CC}">
              <c16:uniqueId val="{00000000-7EB3-C74B-ADD4-A8B042111C84}"/>
            </c:ext>
          </c:extLst>
        </c:ser>
        <c:dLbls>
          <c:showLegendKey val="0"/>
          <c:showVal val="0"/>
          <c:showCatName val="0"/>
          <c:showSerName val="0"/>
          <c:showPercent val="0"/>
          <c:showBubbleSize val="0"/>
        </c:dLbls>
        <c:gapWidth val="219"/>
        <c:overlap val="-27"/>
        <c:axId val="775760383"/>
        <c:axId val="744344191"/>
      </c:barChart>
      <c:catAx>
        <c:axId val="77576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744344191"/>
        <c:crosses val="autoZero"/>
        <c:auto val="1"/>
        <c:lblAlgn val="ctr"/>
        <c:lblOffset val="100"/>
        <c:noMultiLvlLbl val="0"/>
      </c:catAx>
      <c:valAx>
        <c:axId val="744344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775760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LTV 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'.'!$B$3</c:f>
              <c:strCache>
                <c:ptCount val="1"/>
                <c:pt idx="0">
                  <c:v>Total</c:v>
                </c:pt>
              </c:strCache>
            </c:strRef>
          </c:tx>
          <c:spPr>
            <a:ln w="28575" cap="rnd">
              <a:solidFill>
                <a:schemeClr val="accent1"/>
              </a:solidFill>
              <a:round/>
            </a:ln>
            <a:effectLst/>
          </c:spPr>
          <c:marker>
            <c:symbol val="none"/>
          </c:marker>
          <c:cat>
            <c:strRef>
              <c:f>'.'!$A$4:$A$11</c:f>
              <c:strCache>
                <c:ptCount val="7"/>
                <c:pt idx="0">
                  <c:v>2019</c:v>
                </c:pt>
                <c:pt idx="1">
                  <c:v>2020</c:v>
                </c:pt>
                <c:pt idx="2">
                  <c:v>2021</c:v>
                </c:pt>
                <c:pt idx="3">
                  <c:v>2022</c:v>
                </c:pt>
                <c:pt idx="4">
                  <c:v>2023</c:v>
                </c:pt>
                <c:pt idx="5">
                  <c:v>2024</c:v>
                </c:pt>
                <c:pt idx="6">
                  <c:v>2025</c:v>
                </c:pt>
              </c:strCache>
            </c:strRef>
          </c:cat>
          <c:val>
            <c:numRef>
              <c:f>'.'!$B$4:$B$11</c:f>
              <c:numCache>
                <c:formatCode>General</c:formatCode>
                <c:ptCount val="7"/>
                <c:pt idx="0">
                  <c:v>43.1</c:v>
                </c:pt>
                <c:pt idx="1">
                  <c:v>39.4</c:v>
                </c:pt>
                <c:pt idx="2">
                  <c:v>45.4</c:v>
                </c:pt>
                <c:pt idx="3">
                  <c:v>45.1</c:v>
                </c:pt>
                <c:pt idx="4">
                  <c:v>47.3</c:v>
                </c:pt>
                <c:pt idx="5">
                  <c:v>47.7</c:v>
                </c:pt>
                <c:pt idx="6">
                  <c:v>45.4</c:v>
                </c:pt>
              </c:numCache>
            </c:numRef>
          </c:val>
          <c:smooth val="0"/>
          <c:extLst>
            <c:ext xmlns:c16="http://schemas.microsoft.com/office/drawing/2014/chart" uri="{C3380CC4-5D6E-409C-BE32-E72D297353CC}">
              <c16:uniqueId val="{00000021-84FF-724B-8351-CB9F28B550A4}"/>
            </c:ext>
          </c:extLst>
        </c:ser>
        <c:dLbls>
          <c:showLegendKey val="0"/>
          <c:showVal val="0"/>
          <c:showCatName val="0"/>
          <c:showSerName val="0"/>
          <c:showPercent val="0"/>
          <c:showBubbleSize val="0"/>
        </c:dLbls>
        <c:smooth val="0"/>
        <c:axId val="984567743"/>
        <c:axId val="984576255"/>
      </c:lineChart>
      <c:catAx>
        <c:axId val="98456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984576255"/>
        <c:crosses val="autoZero"/>
        <c:auto val="1"/>
        <c:lblAlgn val="ctr"/>
        <c:lblOffset val="100"/>
        <c:noMultiLvlLbl val="0"/>
      </c:catAx>
      <c:valAx>
        <c:axId val="984576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984567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Adjusted EBITDA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'.'!$B$31</c:f>
              <c:strCache>
                <c:ptCount val="1"/>
                <c:pt idx="0">
                  <c:v>Total</c:v>
                </c:pt>
              </c:strCache>
            </c:strRef>
          </c:tx>
          <c:spPr>
            <a:solidFill>
              <a:schemeClr val="accent1"/>
            </a:solidFill>
            <a:ln>
              <a:noFill/>
            </a:ln>
            <a:effectLst/>
          </c:spPr>
          <c:invertIfNegative val="0"/>
          <c:cat>
            <c:strRef>
              <c:f>'.'!$A$32:$A$39</c:f>
              <c:strCache>
                <c:ptCount val="7"/>
                <c:pt idx="0">
                  <c:v>2019</c:v>
                </c:pt>
                <c:pt idx="1">
                  <c:v>2020</c:v>
                </c:pt>
                <c:pt idx="2">
                  <c:v>2021</c:v>
                </c:pt>
                <c:pt idx="3">
                  <c:v>2022</c:v>
                </c:pt>
                <c:pt idx="4">
                  <c:v>2023</c:v>
                </c:pt>
                <c:pt idx="5">
                  <c:v>2024</c:v>
                </c:pt>
                <c:pt idx="6">
                  <c:v>2025</c:v>
                </c:pt>
              </c:strCache>
            </c:strRef>
          </c:cat>
          <c:val>
            <c:numRef>
              <c:f>'.'!$B$32:$B$39</c:f>
              <c:numCache>
                <c:formatCode>General</c:formatCode>
                <c:ptCount val="7"/>
                <c:pt idx="0">
                  <c:v>1760.1</c:v>
                </c:pt>
                <c:pt idx="1">
                  <c:v>1909.8</c:v>
                </c:pt>
                <c:pt idx="2">
                  <c:v>2254.4</c:v>
                </c:pt>
                <c:pt idx="3">
                  <c:v>2606.1</c:v>
                </c:pt>
                <c:pt idx="4">
                  <c:v>2583.8000000000002</c:v>
                </c:pt>
                <c:pt idx="5">
                  <c:v>2641.8</c:v>
                </c:pt>
                <c:pt idx="6">
                  <c:v>2800.8</c:v>
                </c:pt>
              </c:numCache>
            </c:numRef>
          </c:val>
          <c:extLst>
            <c:ext xmlns:c16="http://schemas.microsoft.com/office/drawing/2014/chart" uri="{C3380CC4-5D6E-409C-BE32-E72D297353CC}">
              <c16:uniqueId val="{00000000-8670-F443-9A23-FF9F6CB7CEB4}"/>
            </c:ext>
          </c:extLst>
        </c:ser>
        <c:dLbls>
          <c:showLegendKey val="0"/>
          <c:showVal val="0"/>
          <c:showCatName val="0"/>
          <c:showSerName val="0"/>
          <c:showPercent val="0"/>
          <c:showBubbleSize val="0"/>
        </c:dLbls>
        <c:gapWidth val="219"/>
        <c:overlap val="-27"/>
        <c:axId val="984550015"/>
        <c:axId val="984551807"/>
      </c:barChart>
      <c:catAx>
        <c:axId val="98455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984551807"/>
        <c:crosses val="autoZero"/>
        <c:auto val="1"/>
        <c:lblAlgn val="ctr"/>
        <c:lblOffset val="100"/>
        <c:noMultiLvlLbl val="0"/>
      </c:catAx>
      <c:valAx>
        <c:axId val="984551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984550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'.'!$B$51</c:f>
              <c:strCache>
                <c:ptCount val="1"/>
                <c:pt idx="0">
                  <c:v>Total</c:v>
                </c:pt>
              </c:strCache>
            </c:strRef>
          </c:tx>
          <c:spPr>
            <a:solidFill>
              <a:schemeClr val="accent1"/>
            </a:solidFill>
            <a:ln>
              <a:noFill/>
            </a:ln>
            <a:effectLst/>
          </c:spPr>
          <c:invertIfNegative val="0"/>
          <c:cat>
            <c:strRef>
              <c:f>'.'!$A$52:$A$59</c:f>
              <c:strCache>
                <c:ptCount val="7"/>
                <c:pt idx="0">
                  <c:v>2019</c:v>
                </c:pt>
                <c:pt idx="1">
                  <c:v>2020</c:v>
                </c:pt>
                <c:pt idx="2">
                  <c:v>2021</c:v>
                </c:pt>
                <c:pt idx="3">
                  <c:v>2022</c:v>
                </c:pt>
                <c:pt idx="4">
                  <c:v>2023</c:v>
                </c:pt>
                <c:pt idx="5">
                  <c:v>2024</c:v>
                </c:pt>
                <c:pt idx="6">
                  <c:v>2025</c:v>
                </c:pt>
              </c:strCache>
            </c:strRef>
          </c:cat>
          <c:val>
            <c:numRef>
              <c:f>'.'!$B$52:$B$59</c:f>
              <c:numCache>
                <c:formatCode>General</c:formatCode>
                <c:ptCount val="7"/>
                <c:pt idx="0">
                  <c:v>2.29</c:v>
                </c:pt>
                <c:pt idx="1">
                  <c:v>5.35</c:v>
                </c:pt>
                <c:pt idx="2">
                  <c:v>2.2999999999999998</c:v>
                </c:pt>
                <c:pt idx="3">
                  <c:v>-0.66</c:v>
                </c:pt>
                <c:pt idx="4">
                  <c:v>-7.34</c:v>
                </c:pt>
                <c:pt idx="5">
                  <c:v>-1.07</c:v>
                </c:pt>
                <c:pt idx="6">
                  <c:v>4.49</c:v>
                </c:pt>
              </c:numCache>
            </c:numRef>
          </c:val>
          <c:extLst>
            <c:ext xmlns:c16="http://schemas.microsoft.com/office/drawing/2014/chart" uri="{C3380CC4-5D6E-409C-BE32-E72D297353CC}">
              <c16:uniqueId val="{00000000-EBCB-DA49-9083-F209DEA40EB1}"/>
            </c:ext>
          </c:extLst>
        </c:ser>
        <c:dLbls>
          <c:showLegendKey val="0"/>
          <c:showVal val="0"/>
          <c:showCatName val="0"/>
          <c:showSerName val="0"/>
          <c:showPercent val="0"/>
          <c:showBubbleSize val="0"/>
        </c:dLbls>
        <c:gapWidth val="219"/>
        <c:overlap val="-27"/>
        <c:axId val="872643903"/>
        <c:axId val="936935871"/>
      </c:barChart>
      <c:catAx>
        <c:axId val="872643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936935871"/>
        <c:crosses val="autoZero"/>
        <c:auto val="1"/>
        <c:lblAlgn val="ctr"/>
        <c:lblOffset val="100"/>
        <c:noMultiLvlLbl val="0"/>
      </c:catAx>
      <c:valAx>
        <c:axId val="93693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7264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ROI 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'.'!$B$51</c:f>
              <c:strCache>
                <c:ptCount val="1"/>
                <c:pt idx="0">
                  <c:v>Total</c:v>
                </c:pt>
              </c:strCache>
            </c:strRef>
          </c:tx>
          <c:spPr>
            <a:ln w="28575" cap="rnd">
              <a:solidFill>
                <a:schemeClr val="accent1"/>
              </a:solidFill>
              <a:round/>
            </a:ln>
            <a:effectLst/>
          </c:spPr>
          <c:marker>
            <c:symbol val="none"/>
          </c:marker>
          <c:cat>
            <c:strRef>
              <c:f>'.'!$A$52:$A$59</c:f>
              <c:strCache>
                <c:ptCount val="7"/>
                <c:pt idx="0">
                  <c:v>2019</c:v>
                </c:pt>
                <c:pt idx="1">
                  <c:v>2020</c:v>
                </c:pt>
                <c:pt idx="2">
                  <c:v>2021</c:v>
                </c:pt>
                <c:pt idx="3">
                  <c:v>2022</c:v>
                </c:pt>
                <c:pt idx="4">
                  <c:v>2023</c:v>
                </c:pt>
                <c:pt idx="5">
                  <c:v>2024</c:v>
                </c:pt>
                <c:pt idx="6">
                  <c:v>2025</c:v>
                </c:pt>
              </c:strCache>
            </c:strRef>
          </c:cat>
          <c:val>
            <c:numRef>
              <c:f>'.'!$B$52:$B$59</c:f>
              <c:numCache>
                <c:formatCode>General</c:formatCode>
                <c:ptCount val="7"/>
                <c:pt idx="0">
                  <c:v>2.29</c:v>
                </c:pt>
                <c:pt idx="1">
                  <c:v>5.35</c:v>
                </c:pt>
                <c:pt idx="2">
                  <c:v>2.2999999999999998</c:v>
                </c:pt>
                <c:pt idx="3">
                  <c:v>-0.66</c:v>
                </c:pt>
                <c:pt idx="4">
                  <c:v>-7.34</c:v>
                </c:pt>
                <c:pt idx="5">
                  <c:v>-1.07</c:v>
                </c:pt>
                <c:pt idx="6">
                  <c:v>4.49</c:v>
                </c:pt>
              </c:numCache>
            </c:numRef>
          </c:val>
          <c:smooth val="0"/>
          <c:extLst>
            <c:ext xmlns:c16="http://schemas.microsoft.com/office/drawing/2014/chart" uri="{C3380CC4-5D6E-409C-BE32-E72D297353CC}">
              <c16:uniqueId val="{00000000-3F29-FF4C-A259-D2DC90253554}"/>
            </c:ext>
          </c:extLst>
        </c:ser>
        <c:dLbls>
          <c:showLegendKey val="0"/>
          <c:showVal val="0"/>
          <c:showCatName val="0"/>
          <c:showSerName val="0"/>
          <c:showPercent val="0"/>
          <c:showBubbleSize val="0"/>
        </c:dLbls>
        <c:smooth val="0"/>
        <c:axId val="856513087"/>
        <c:axId val="856514879"/>
      </c:lineChart>
      <c:catAx>
        <c:axId val="856513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56514879"/>
        <c:crosses val="autoZero"/>
        <c:auto val="1"/>
        <c:lblAlgn val="ctr"/>
        <c:lblOffset val="100"/>
        <c:noMultiLvlLbl val="0"/>
      </c:catAx>
      <c:valAx>
        <c:axId val="856514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56513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Kundenzufriedenheit (CSI) 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'.'!$B$68</c:f>
              <c:strCache>
                <c:ptCount val="1"/>
                <c:pt idx="0">
                  <c:v>Total</c:v>
                </c:pt>
              </c:strCache>
            </c:strRef>
          </c:tx>
          <c:spPr>
            <a:ln w="28575" cap="rnd">
              <a:solidFill>
                <a:schemeClr val="accent1"/>
              </a:solidFill>
              <a:round/>
            </a:ln>
            <a:effectLst/>
          </c:spPr>
          <c:marker>
            <c:symbol val="none"/>
          </c:marker>
          <c:cat>
            <c:strRef>
              <c:f>'.'!$A$69:$A$76</c:f>
              <c:strCache>
                <c:ptCount val="7"/>
                <c:pt idx="0">
                  <c:v>2019</c:v>
                </c:pt>
                <c:pt idx="1">
                  <c:v>2020</c:v>
                </c:pt>
                <c:pt idx="2">
                  <c:v>2021</c:v>
                </c:pt>
                <c:pt idx="3">
                  <c:v>2022</c:v>
                </c:pt>
                <c:pt idx="4">
                  <c:v>2023</c:v>
                </c:pt>
                <c:pt idx="5">
                  <c:v>2024</c:v>
                </c:pt>
                <c:pt idx="6">
                  <c:v>2025</c:v>
                </c:pt>
              </c:strCache>
            </c:strRef>
          </c:cat>
          <c:val>
            <c:numRef>
              <c:f>'.'!$B$69:$B$76</c:f>
              <c:numCache>
                <c:formatCode>General</c:formatCode>
                <c:ptCount val="7"/>
                <c:pt idx="0">
                  <c:v>61.2</c:v>
                </c:pt>
                <c:pt idx="1">
                  <c:v>69.8</c:v>
                </c:pt>
                <c:pt idx="2">
                  <c:v>74.3</c:v>
                </c:pt>
                <c:pt idx="3">
                  <c:v>75.599999999999994</c:v>
                </c:pt>
                <c:pt idx="4">
                  <c:v>72.400000000000006</c:v>
                </c:pt>
                <c:pt idx="5">
                  <c:v>75.2</c:v>
                </c:pt>
                <c:pt idx="6">
                  <c:v>76.5</c:v>
                </c:pt>
              </c:numCache>
            </c:numRef>
          </c:val>
          <c:smooth val="0"/>
          <c:extLst>
            <c:ext xmlns:c16="http://schemas.microsoft.com/office/drawing/2014/chart" uri="{C3380CC4-5D6E-409C-BE32-E72D297353CC}">
              <c16:uniqueId val="{00000008-6A04-BA4E-B801-DF8ED4316928}"/>
            </c:ext>
          </c:extLst>
        </c:ser>
        <c:dLbls>
          <c:showLegendKey val="0"/>
          <c:showVal val="0"/>
          <c:showCatName val="0"/>
          <c:showSerName val="0"/>
          <c:showPercent val="0"/>
          <c:showBubbleSize val="0"/>
        </c:dLbls>
        <c:smooth val="0"/>
        <c:axId val="857216255"/>
        <c:axId val="857222975"/>
      </c:lineChart>
      <c:catAx>
        <c:axId val="857216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57222975"/>
        <c:crosses val="autoZero"/>
        <c:auto val="1"/>
        <c:lblAlgn val="ctr"/>
        <c:lblOffset val="100"/>
        <c:noMultiLvlLbl val="0"/>
      </c:catAx>
      <c:valAx>
        <c:axId val="857222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57216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Leerstandsquote</a:t>
            </a:r>
            <a:r>
              <a:rPr lang="en-GB" baseline="0"/>
              <a:t> in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'.'!$B$91</c:f>
              <c:strCache>
                <c:ptCount val="1"/>
                <c:pt idx="0">
                  <c:v>Total</c:v>
                </c:pt>
              </c:strCache>
            </c:strRef>
          </c:tx>
          <c:spPr>
            <a:solidFill>
              <a:schemeClr val="accent1"/>
            </a:solidFill>
            <a:ln>
              <a:noFill/>
            </a:ln>
            <a:effectLst/>
          </c:spPr>
          <c:invertIfNegative val="0"/>
          <c:cat>
            <c:strRef>
              <c:f>'.'!$A$92:$A$99</c:f>
              <c:strCache>
                <c:ptCount val="7"/>
                <c:pt idx="0">
                  <c:v>2019</c:v>
                </c:pt>
                <c:pt idx="1">
                  <c:v>2020</c:v>
                </c:pt>
                <c:pt idx="2">
                  <c:v>2021</c:v>
                </c:pt>
                <c:pt idx="3">
                  <c:v>2022</c:v>
                </c:pt>
                <c:pt idx="4">
                  <c:v>2023</c:v>
                </c:pt>
                <c:pt idx="5">
                  <c:v>2024</c:v>
                </c:pt>
                <c:pt idx="6">
                  <c:v>2025</c:v>
                </c:pt>
              </c:strCache>
            </c:strRef>
          </c:cat>
          <c:val>
            <c:numRef>
              <c:f>'.'!$B$92:$B$99</c:f>
              <c:numCache>
                <c:formatCode>General</c:formatCode>
                <c:ptCount val="7"/>
                <c:pt idx="0">
                  <c:v>2.6</c:v>
                </c:pt>
                <c:pt idx="1">
                  <c:v>2.4</c:v>
                </c:pt>
                <c:pt idx="2">
                  <c:v>2.2000000000000002</c:v>
                </c:pt>
                <c:pt idx="3">
                  <c:v>2</c:v>
                </c:pt>
                <c:pt idx="4">
                  <c:v>2</c:v>
                </c:pt>
                <c:pt idx="5">
                  <c:v>2</c:v>
                </c:pt>
                <c:pt idx="6">
                  <c:v>2.1</c:v>
                </c:pt>
              </c:numCache>
            </c:numRef>
          </c:val>
          <c:extLst>
            <c:ext xmlns:c16="http://schemas.microsoft.com/office/drawing/2014/chart" uri="{C3380CC4-5D6E-409C-BE32-E72D297353CC}">
              <c16:uniqueId val="{00000000-9FF7-2C47-B6F9-27F045139E8E}"/>
            </c:ext>
          </c:extLst>
        </c:ser>
        <c:dLbls>
          <c:showLegendKey val="0"/>
          <c:showVal val="0"/>
          <c:showCatName val="0"/>
          <c:showSerName val="0"/>
          <c:showPercent val="0"/>
          <c:showBubbleSize val="0"/>
        </c:dLbls>
        <c:gapWidth val="219"/>
        <c:overlap val="-27"/>
        <c:axId val="857645375"/>
        <c:axId val="857643135"/>
      </c:barChart>
      <c:catAx>
        <c:axId val="857645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57643135"/>
        <c:crosses val="autoZero"/>
        <c:auto val="1"/>
        <c:lblAlgn val="ctr"/>
        <c:lblOffset val="100"/>
        <c:noMultiLvlLbl val="0"/>
      </c:catAx>
      <c:valAx>
        <c:axId val="85764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5764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Mietsteigerung organisch in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'.'!$B$106</c:f>
              <c:strCache>
                <c:ptCount val="1"/>
                <c:pt idx="0">
                  <c:v>Total</c:v>
                </c:pt>
              </c:strCache>
            </c:strRef>
          </c:tx>
          <c:spPr>
            <a:ln w="28575" cap="rnd">
              <a:solidFill>
                <a:schemeClr val="accent1"/>
              </a:solidFill>
              <a:round/>
            </a:ln>
            <a:effectLst/>
          </c:spPr>
          <c:marker>
            <c:symbol val="none"/>
          </c:marker>
          <c:cat>
            <c:strRef>
              <c:f>'.'!$A$107:$A$114</c:f>
              <c:strCache>
                <c:ptCount val="7"/>
                <c:pt idx="0">
                  <c:v>2019</c:v>
                </c:pt>
                <c:pt idx="1">
                  <c:v>2020</c:v>
                </c:pt>
                <c:pt idx="2">
                  <c:v>2021</c:v>
                </c:pt>
                <c:pt idx="3">
                  <c:v>2022</c:v>
                </c:pt>
                <c:pt idx="4">
                  <c:v>2023</c:v>
                </c:pt>
                <c:pt idx="5">
                  <c:v>2024</c:v>
                </c:pt>
                <c:pt idx="6">
                  <c:v>2025</c:v>
                </c:pt>
              </c:strCache>
            </c:strRef>
          </c:cat>
          <c:val>
            <c:numRef>
              <c:f>'.'!$B$107:$B$114</c:f>
              <c:numCache>
                <c:formatCode>General</c:formatCode>
                <c:ptCount val="7"/>
                <c:pt idx="0">
                  <c:v>3.9</c:v>
                </c:pt>
                <c:pt idx="1">
                  <c:v>3.1</c:v>
                </c:pt>
                <c:pt idx="2">
                  <c:v>3.8</c:v>
                </c:pt>
                <c:pt idx="3">
                  <c:v>3.3</c:v>
                </c:pt>
                <c:pt idx="4">
                  <c:v>3.8</c:v>
                </c:pt>
                <c:pt idx="5">
                  <c:v>4.0999999999999996</c:v>
                </c:pt>
                <c:pt idx="6">
                  <c:v>4.0999999999999996</c:v>
                </c:pt>
              </c:numCache>
            </c:numRef>
          </c:val>
          <c:smooth val="0"/>
          <c:extLst>
            <c:ext xmlns:c16="http://schemas.microsoft.com/office/drawing/2014/chart" uri="{C3380CC4-5D6E-409C-BE32-E72D297353CC}">
              <c16:uniqueId val="{00000000-BEA2-644A-B511-D1D4E709A9BC}"/>
            </c:ext>
          </c:extLst>
        </c:ser>
        <c:dLbls>
          <c:showLegendKey val="0"/>
          <c:showVal val="0"/>
          <c:showCatName val="0"/>
          <c:showSerName val="0"/>
          <c:showPercent val="0"/>
          <c:showBubbleSize val="0"/>
        </c:dLbls>
        <c:smooth val="0"/>
        <c:axId val="790315903"/>
        <c:axId val="856521599"/>
      </c:lineChart>
      <c:catAx>
        <c:axId val="79031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56521599"/>
        <c:crosses val="autoZero"/>
        <c:auto val="1"/>
        <c:lblAlgn val="ctr"/>
        <c:lblOffset val="100"/>
        <c:noMultiLvlLbl val="0"/>
      </c:catAx>
      <c:valAx>
        <c:axId val="856521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79031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Gesamtsumme Instandhaltung/Modernisierung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'.'!$B$116</c:f>
              <c:strCache>
                <c:ptCount val="1"/>
                <c:pt idx="0">
                  <c:v>Total</c:v>
                </c:pt>
              </c:strCache>
            </c:strRef>
          </c:tx>
          <c:spPr>
            <a:solidFill>
              <a:schemeClr val="accent1"/>
            </a:solidFill>
            <a:ln>
              <a:noFill/>
            </a:ln>
            <a:effectLst/>
          </c:spPr>
          <c:invertIfNegative val="0"/>
          <c:cat>
            <c:strRef>
              <c:f>'.'!$A$117:$A$124</c:f>
              <c:strCache>
                <c:ptCount val="7"/>
                <c:pt idx="0">
                  <c:v>2019</c:v>
                </c:pt>
                <c:pt idx="1">
                  <c:v>2020</c:v>
                </c:pt>
                <c:pt idx="2">
                  <c:v>2021</c:v>
                </c:pt>
                <c:pt idx="3">
                  <c:v>2022</c:v>
                </c:pt>
                <c:pt idx="4">
                  <c:v>2023</c:v>
                </c:pt>
                <c:pt idx="5">
                  <c:v>2024</c:v>
                </c:pt>
                <c:pt idx="6">
                  <c:v>2025</c:v>
                </c:pt>
              </c:strCache>
            </c:strRef>
          </c:cat>
          <c:val>
            <c:numRef>
              <c:f>'.'!$B$117:$B$124</c:f>
              <c:numCache>
                <c:formatCode>#,##0\ "€"</c:formatCode>
                <c:ptCount val="7"/>
                <c:pt idx="0">
                  <c:v>1971.1</c:v>
                </c:pt>
                <c:pt idx="1">
                  <c:v>1935.9</c:v>
                </c:pt>
                <c:pt idx="2">
                  <c:v>2185.6</c:v>
                </c:pt>
                <c:pt idx="3">
                  <c:v>2266.3000000000002</c:v>
                </c:pt>
                <c:pt idx="4">
                  <c:v>1527</c:v>
                </c:pt>
                <c:pt idx="5">
                  <c:v>1601</c:v>
                </c:pt>
                <c:pt idx="6">
                  <c:v>1972.7</c:v>
                </c:pt>
              </c:numCache>
            </c:numRef>
          </c:val>
          <c:extLst>
            <c:ext xmlns:c16="http://schemas.microsoft.com/office/drawing/2014/chart" uri="{C3380CC4-5D6E-409C-BE32-E72D297353CC}">
              <c16:uniqueId val="{00000000-3612-D94A-90DC-850331814BE5}"/>
            </c:ext>
          </c:extLst>
        </c:ser>
        <c:dLbls>
          <c:showLegendKey val="0"/>
          <c:showVal val="0"/>
          <c:showCatName val="0"/>
          <c:showSerName val="0"/>
          <c:showPercent val="0"/>
          <c:showBubbleSize val="0"/>
        </c:dLbls>
        <c:gapWidth val="219"/>
        <c:overlap val="-27"/>
        <c:axId val="789976319"/>
        <c:axId val="789971391"/>
      </c:barChart>
      <c:catAx>
        <c:axId val="789976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789971391"/>
        <c:crosses val="autoZero"/>
        <c:auto val="1"/>
        <c:lblAlgn val="ctr"/>
        <c:lblOffset val="100"/>
        <c:noMultiLvlLbl val="0"/>
      </c:catAx>
      <c:valAx>
        <c:axId val="789971391"/>
        <c:scaling>
          <c:orientation val="minMax"/>
        </c:scaling>
        <c:delete val="0"/>
        <c:axPos val="l"/>
        <c:majorGridlines>
          <c:spPr>
            <a:ln w="9525" cap="flat" cmpd="sng" algn="ctr">
              <a:solidFill>
                <a:schemeClr val="tx1">
                  <a:lumMod val="15000"/>
                  <a:lumOff val="85000"/>
                </a:schemeClr>
              </a:solidFill>
              <a:round/>
            </a:ln>
            <a:effectLst/>
          </c:spPr>
        </c:majorGridlines>
        <c:numFmt formatCode="#,##0\ &quo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78997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Instandhaltungsaufwand (€/m²)</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'.'!$B$134</c:f>
              <c:strCache>
                <c:ptCount val="1"/>
                <c:pt idx="0">
                  <c:v>Total</c:v>
                </c:pt>
              </c:strCache>
            </c:strRef>
          </c:tx>
          <c:spPr>
            <a:ln w="28575" cap="rnd">
              <a:solidFill>
                <a:schemeClr val="accent1"/>
              </a:solidFill>
              <a:round/>
            </a:ln>
            <a:effectLst/>
          </c:spPr>
          <c:marker>
            <c:symbol val="none"/>
          </c:marker>
          <c:cat>
            <c:strRef>
              <c:f>'.'!$A$135:$A$142</c:f>
              <c:strCache>
                <c:ptCount val="7"/>
                <c:pt idx="0">
                  <c:v>2019</c:v>
                </c:pt>
                <c:pt idx="1">
                  <c:v>2020</c:v>
                </c:pt>
                <c:pt idx="2">
                  <c:v>2021</c:v>
                </c:pt>
                <c:pt idx="3">
                  <c:v>2022</c:v>
                </c:pt>
                <c:pt idx="4">
                  <c:v>2023</c:v>
                </c:pt>
                <c:pt idx="5">
                  <c:v>2024</c:v>
                </c:pt>
                <c:pt idx="6">
                  <c:v>2025</c:v>
                </c:pt>
              </c:strCache>
            </c:strRef>
          </c:cat>
          <c:val>
            <c:numRef>
              <c:f>'.'!$B$135:$B$142</c:f>
              <c:numCache>
                <c:formatCode>General</c:formatCode>
                <c:ptCount val="7"/>
                <c:pt idx="0">
                  <c:v>12.2</c:v>
                </c:pt>
                <c:pt idx="1">
                  <c:v>12.1</c:v>
                </c:pt>
                <c:pt idx="2">
                  <c:v>13.01</c:v>
                </c:pt>
                <c:pt idx="3">
                  <c:v>12.86</c:v>
                </c:pt>
                <c:pt idx="4">
                  <c:v>12.41</c:v>
                </c:pt>
                <c:pt idx="5">
                  <c:v>13.82</c:v>
                </c:pt>
                <c:pt idx="6">
                  <c:v>14.46</c:v>
                </c:pt>
              </c:numCache>
            </c:numRef>
          </c:val>
          <c:smooth val="0"/>
          <c:extLst>
            <c:ext xmlns:c16="http://schemas.microsoft.com/office/drawing/2014/chart" uri="{C3380CC4-5D6E-409C-BE32-E72D297353CC}">
              <c16:uniqueId val="{00000000-0118-564B-B91D-24CD7D3C667E}"/>
            </c:ext>
          </c:extLst>
        </c:ser>
        <c:dLbls>
          <c:showLegendKey val="0"/>
          <c:showVal val="0"/>
          <c:showCatName val="0"/>
          <c:showSerName val="0"/>
          <c:showPercent val="0"/>
          <c:showBubbleSize val="0"/>
        </c:dLbls>
        <c:smooth val="0"/>
        <c:axId val="921773247"/>
        <c:axId val="921779071"/>
      </c:lineChart>
      <c:catAx>
        <c:axId val="92177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921779071"/>
        <c:crosses val="autoZero"/>
        <c:auto val="1"/>
        <c:lblAlgn val="ctr"/>
        <c:lblOffset val="100"/>
        <c:noMultiLvlLbl val="0"/>
      </c:catAx>
      <c:valAx>
        <c:axId val="92177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92177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Anzahl neu gebauter Einheiten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'.'!$B$149</c:f>
              <c:strCache>
                <c:ptCount val="1"/>
                <c:pt idx="0">
                  <c:v>Total</c:v>
                </c:pt>
              </c:strCache>
            </c:strRef>
          </c:tx>
          <c:spPr>
            <a:solidFill>
              <a:schemeClr val="accent1"/>
            </a:solidFill>
            <a:ln>
              <a:noFill/>
            </a:ln>
            <a:effectLst/>
          </c:spPr>
          <c:invertIfNegative val="0"/>
          <c:cat>
            <c:strRef>
              <c:f>'.'!$A$150:$A$157</c:f>
              <c:strCache>
                <c:ptCount val="7"/>
                <c:pt idx="0">
                  <c:v>2019</c:v>
                </c:pt>
                <c:pt idx="1">
                  <c:v>2020</c:v>
                </c:pt>
                <c:pt idx="2">
                  <c:v>2021</c:v>
                </c:pt>
                <c:pt idx="3">
                  <c:v>2022</c:v>
                </c:pt>
                <c:pt idx="4">
                  <c:v>2023</c:v>
                </c:pt>
                <c:pt idx="5">
                  <c:v>2024</c:v>
                </c:pt>
                <c:pt idx="6">
                  <c:v>2025</c:v>
                </c:pt>
              </c:strCache>
            </c:strRef>
          </c:cat>
          <c:val>
            <c:numRef>
              <c:f>'.'!$B$150:$B$157</c:f>
              <c:numCache>
                <c:formatCode>General</c:formatCode>
                <c:ptCount val="7"/>
                <c:pt idx="0">
                  <c:v>2092</c:v>
                </c:pt>
                <c:pt idx="1">
                  <c:v>2088</c:v>
                </c:pt>
                <c:pt idx="2">
                  <c:v>2200</c:v>
                </c:pt>
                <c:pt idx="3">
                  <c:v>3749</c:v>
                </c:pt>
                <c:pt idx="4">
                  <c:v>2460</c:v>
                </c:pt>
                <c:pt idx="5">
                  <c:v>3747</c:v>
                </c:pt>
                <c:pt idx="6">
                  <c:v>2090</c:v>
                </c:pt>
              </c:numCache>
            </c:numRef>
          </c:val>
          <c:extLst>
            <c:ext xmlns:c16="http://schemas.microsoft.com/office/drawing/2014/chart" uri="{C3380CC4-5D6E-409C-BE32-E72D297353CC}">
              <c16:uniqueId val="{00000000-8349-A84F-9D82-C384FDB1F579}"/>
            </c:ext>
          </c:extLst>
        </c:ser>
        <c:dLbls>
          <c:showLegendKey val="0"/>
          <c:showVal val="0"/>
          <c:showCatName val="0"/>
          <c:showSerName val="0"/>
          <c:showPercent val="0"/>
          <c:showBubbleSize val="0"/>
        </c:dLbls>
        <c:gapWidth val="219"/>
        <c:overlap val="-27"/>
        <c:axId val="913750911"/>
        <c:axId val="913742399"/>
      </c:barChart>
      <c:catAx>
        <c:axId val="91375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913742399"/>
        <c:crosses val="autoZero"/>
        <c:auto val="1"/>
        <c:lblAlgn val="ctr"/>
        <c:lblOffset val="100"/>
        <c:noMultiLvlLbl val="0"/>
      </c:catAx>
      <c:valAx>
        <c:axId val="91374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913750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CO₂-Intensität in kg CO₂e/m²</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'.'!$B$167</c:f>
              <c:strCache>
                <c:ptCount val="1"/>
                <c:pt idx="0">
                  <c:v>Total</c:v>
                </c:pt>
              </c:strCache>
            </c:strRef>
          </c:tx>
          <c:spPr>
            <a:solidFill>
              <a:schemeClr val="accent1"/>
            </a:solidFill>
            <a:ln>
              <a:noFill/>
            </a:ln>
            <a:effectLst/>
          </c:spPr>
          <c:invertIfNegative val="0"/>
          <c:cat>
            <c:strRef>
              <c:f>'.'!$A$168:$A$175</c:f>
              <c:strCache>
                <c:ptCount val="7"/>
                <c:pt idx="0">
                  <c:v>2019</c:v>
                </c:pt>
                <c:pt idx="1">
                  <c:v>2020</c:v>
                </c:pt>
                <c:pt idx="2">
                  <c:v>2021</c:v>
                </c:pt>
                <c:pt idx="3">
                  <c:v>2022</c:v>
                </c:pt>
                <c:pt idx="4">
                  <c:v>2023</c:v>
                </c:pt>
                <c:pt idx="5">
                  <c:v>2024</c:v>
                </c:pt>
                <c:pt idx="6">
                  <c:v>2025</c:v>
                </c:pt>
              </c:strCache>
            </c:strRef>
          </c:cat>
          <c:val>
            <c:numRef>
              <c:f>'.'!$B$168:$B$175</c:f>
              <c:numCache>
                <c:formatCode>General</c:formatCode>
                <c:ptCount val="7"/>
                <c:pt idx="0">
                  <c:v>47.2</c:v>
                </c:pt>
                <c:pt idx="1">
                  <c:v>39.5</c:v>
                </c:pt>
                <c:pt idx="2">
                  <c:v>38.4</c:v>
                </c:pt>
                <c:pt idx="3">
                  <c:v>33</c:v>
                </c:pt>
                <c:pt idx="4">
                  <c:v>31.7</c:v>
                </c:pt>
                <c:pt idx="5">
                  <c:v>31.2</c:v>
                </c:pt>
                <c:pt idx="6">
                  <c:v>30.7</c:v>
                </c:pt>
              </c:numCache>
            </c:numRef>
          </c:val>
          <c:extLst>
            <c:ext xmlns:c16="http://schemas.microsoft.com/office/drawing/2014/chart" uri="{C3380CC4-5D6E-409C-BE32-E72D297353CC}">
              <c16:uniqueId val="{00000000-979A-8744-998B-AA1B58CCED72}"/>
            </c:ext>
          </c:extLst>
        </c:ser>
        <c:dLbls>
          <c:showLegendKey val="0"/>
          <c:showVal val="0"/>
          <c:showCatName val="0"/>
          <c:showSerName val="0"/>
          <c:showPercent val="0"/>
          <c:showBubbleSize val="0"/>
        </c:dLbls>
        <c:gapWidth val="219"/>
        <c:overlap val="-27"/>
        <c:axId val="772237375"/>
        <c:axId val="767558527"/>
      </c:barChart>
      <c:catAx>
        <c:axId val="77223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767558527"/>
        <c:crosses val="autoZero"/>
        <c:auto val="1"/>
        <c:lblAlgn val="ctr"/>
        <c:lblOffset val="100"/>
        <c:noMultiLvlLbl val="0"/>
      </c:catAx>
      <c:valAx>
        <c:axId val="76755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77223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Mitarbeiterzufriedenheit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'.'!$B$179</c:f>
              <c:strCache>
                <c:ptCount val="1"/>
                <c:pt idx="0">
                  <c:v>Total</c:v>
                </c:pt>
              </c:strCache>
            </c:strRef>
          </c:tx>
          <c:spPr>
            <a:solidFill>
              <a:schemeClr val="accent1"/>
            </a:solidFill>
            <a:ln>
              <a:noFill/>
            </a:ln>
            <a:effectLst/>
          </c:spPr>
          <c:invertIfNegative val="0"/>
          <c:cat>
            <c:strRef>
              <c:f>'.'!$A$180:$A$187</c:f>
              <c:strCache>
                <c:ptCount val="7"/>
                <c:pt idx="0">
                  <c:v>2019</c:v>
                </c:pt>
                <c:pt idx="1">
                  <c:v>2020</c:v>
                </c:pt>
                <c:pt idx="2">
                  <c:v>2021</c:v>
                </c:pt>
                <c:pt idx="3">
                  <c:v>2022</c:v>
                </c:pt>
                <c:pt idx="4">
                  <c:v>2023</c:v>
                </c:pt>
                <c:pt idx="5">
                  <c:v>2024</c:v>
                </c:pt>
                <c:pt idx="6">
                  <c:v>2025</c:v>
                </c:pt>
              </c:strCache>
            </c:strRef>
          </c:cat>
          <c:val>
            <c:numRef>
              <c:f>'.'!$B$180:$B$187</c:f>
              <c:numCache>
                <c:formatCode>General</c:formatCode>
                <c:ptCount val="7"/>
                <c:pt idx="0">
                  <c:v>0</c:v>
                </c:pt>
                <c:pt idx="1">
                  <c:v>0</c:v>
                </c:pt>
                <c:pt idx="2">
                  <c:v>0</c:v>
                </c:pt>
                <c:pt idx="3">
                  <c:v>0</c:v>
                </c:pt>
                <c:pt idx="4">
                  <c:v>0</c:v>
                </c:pt>
                <c:pt idx="5">
                  <c:v>0.75</c:v>
                </c:pt>
                <c:pt idx="6">
                  <c:v>0.77</c:v>
                </c:pt>
              </c:numCache>
            </c:numRef>
          </c:val>
          <c:extLst>
            <c:ext xmlns:c16="http://schemas.microsoft.com/office/drawing/2014/chart" uri="{C3380CC4-5D6E-409C-BE32-E72D297353CC}">
              <c16:uniqueId val="{00000000-1F5A-624E-814D-12D61E3600FA}"/>
            </c:ext>
          </c:extLst>
        </c:ser>
        <c:dLbls>
          <c:showLegendKey val="0"/>
          <c:showVal val="0"/>
          <c:showCatName val="0"/>
          <c:showSerName val="0"/>
          <c:showPercent val="0"/>
          <c:showBubbleSize val="0"/>
        </c:dLbls>
        <c:gapWidth val="219"/>
        <c:overlap val="-27"/>
        <c:axId val="790207487"/>
        <c:axId val="872810239"/>
      </c:barChart>
      <c:catAx>
        <c:axId val="79020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872810239"/>
        <c:crosses val="autoZero"/>
        <c:auto val="1"/>
        <c:lblAlgn val="ctr"/>
        <c:lblOffset val="100"/>
        <c:noMultiLvlLbl val="0"/>
      </c:catAx>
      <c:valAx>
        <c:axId val="872810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79020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[Vonovia_Dashboard.xlsx].!PivotTable14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Bewirtschaftete Einheiten pro Mitarbeiter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D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D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'.'!$B$208</c:f>
              <c:strCache>
                <c:ptCount val="1"/>
                <c:pt idx="0">
                  <c:v>Total</c:v>
                </c:pt>
              </c:strCache>
            </c:strRef>
          </c:tx>
          <c:spPr>
            <a:solidFill>
              <a:schemeClr val="accent1"/>
            </a:solidFill>
            <a:ln>
              <a:noFill/>
            </a:ln>
            <a:effectLst/>
          </c:spPr>
          <c:invertIfNegative val="0"/>
          <c:cat>
            <c:strRef>
              <c:f>'.'!$A$209:$A$216</c:f>
              <c:strCache>
                <c:ptCount val="7"/>
                <c:pt idx="0">
                  <c:v>2019</c:v>
                </c:pt>
                <c:pt idx="1">
                  <c:v>2020</c:v>
                </c:pt>
                <c:pt idx="2">
                  <c:v>2021</c:v>
                </c:pt>
                <c:pt idx="3">
                  <c:v>2022</c:v>
                </c:pt>
                <c:pt idx="4">
                  <c:v>2023</c:v>
                </c:pt>
                <c:pt idx="5">
                  <c:v>2024</c:v>
                </c:pt>
                <c:pt idx="6">
                  <c:v>2025</c:v>
                </c:pt>
              </c:strCache>
            </c:strRef>
          </c:cat>
          <c:val>
            <c:numRef>
              <c:f>'.'!$B$209:$B$216</c:f>
              <c:numCache>
                <c:formatCode>General</c:formatCode>
                <c:ptCount val="7"/>
                <c:pt idx="0">
                  <c:v>47.8</c:v>
                </c:pt>
                <c:pt idx="1">
                  <c:v>46.1</c:v>
                </c:pt>
                <c:pt idx="2">
                  <c:v>40.1</c:v>
                </c:pt>
                <c:pt idx="3">
                  <c:v>51.3</c:v>
                </c:pt>
                <c:pt idx="4">
                  <c:v>51.7</c:v>
                </c:pt>
                <c:pt idx="5">
                  <c:v>50.9</c:v>
                </c:pt>
                <c:pt idx="6">
                  <c:v>47.8</c:v>
                </c:pt>
              </c:numCache>
            </c:numRef>
          </c:val>
          <c:extLst>
            <c:ext xmlns:c16="http://schemas.microsoft.com/office/drawing/2014/chart" uri="{C3380CC4-5D6E-409C-BE32-E72D297353CC}">
              <c16:uniqueId val="{00000000-F38B-DB43-8E91-D220D2D9567B}"/>
            </c:ext>
          </c:extLst>
        </c:ser>
        <c:dLbls>
          <c:showLegendKey val="0"/>
          <c:showVal val="0"/>
          <c:showCatName val="0"/>
          <c:showSerName val="0"/>
          <c:showPercent val="0"/>
          <c:showBubbleSize val="0"/>
        </c:dLbls>
        <c:gapWidth val="219"/>
        <c:overlap val="-27"/>
        <c:axId val="775760383"/>
        <c:axId val="744344191"/>
      </c:barChart>
      <c:catAx>
        <c:axId val="77576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744344191"/>
        <c:crosses val="autoZero"/>
        <c:auto val="1"/>
        <c:lblAlgn val="ctr"/>
        <c:lblOffset val="100"/>
        <c:noMultiLvlLbl val="0"/>
      </c:catAx>
      <c:valAx>
        <c:axId val="744344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775760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13" Type="http://schemas.openxmlformats.org/officeDocument/2006/relationships/chart" Target="../charts/chart25.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19</xdr:col>
      <xdr:colOff>533552</xdr:colOff>
      <xdr:row>22</xdr:row>
      <xdr:rowOff>28656</xdr:rowOff>
    </xdr:from>
    <xdr:to>
      <xdr:col>25</xdr:col>
      <xdr:colOff>149717</xdr:colOff>
      <xdr:row>36</xdr:row>
      <xdr:rowOff>96743</xdr:rowOff>
    </xdr:to>
    <xdr:graphicFrame macro="">
      <xdr:nvGraphicFramePr>
        <xdr:cNvPr id="2" name="Chart 1">
          <a:extLst>
            <a:ext uri="{FF2B5EF4-FFF2-40B4-BE49-F238E27FC236}">
              <a16:creationId xmlns:a16="http://schemas.microsoft.com/office/drawing/2014/main" id="{A3E03FB7-857D-D842-84E0-6FBEBEF48E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502024</xdr:colOff>
      <xdr:row>22</xdr:row>
      <xdr:rowOff>27433</xdr:rowOff>
    </xdr:from>
    <xdr:to>
      <xdr:col>19</xdr:col>
      <xdr:colOff>133649</xdr:colOff>
      <xdr:row>36</xdr:row>
      <xdr:rowOff>92753</xdr:rowOff>
    </xdr:to>
    <xdr:graphicFrame macro="">
      <xdr:nvGraphicFramePr>
        <xdr:cNvPr id="3" name="Chart 2">
          <a:extLst>
            <a:ext uri="{FF2B5EF4-FFF2-40B4-BE49-F238E27FC236}">
              <a16:creationId xmlns:a16="http://schemas.microsoft.com/office/drawing/2014/main" id="{1B07C32F-A3F8-9A4B-A3AF-6617E51593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449808</xdr:colOff>
      <xdr:row>22</xdr:row>
      <xdr:rowOff>28656</xdr:rowOff>
    </xdr:from>
    <xdr:to>
      <xdr:col>13</xdr:col>
      <xdr:colOff>90023</xdr:colOff>
      <xdr:row>36</xdr:row>
      <xdr:rowOff>96743</xdr:rowOff>
    </xdr:to>
    <xdr:graphicFrame macro="">
      <xdr:nvGraphicFramePr>
        <xdr:cNvPr id="5" name="Chart 4">
          <a:extLst>
            <a:ext uri="{FF2B5EF4-FFF2-40B4-BE49-F238E27FC236}">
              <a16:creationId xmlns:a16="http://schemas.microsoft.com/office/drawing/2014/main" id="{BCAFE14E-BEE3-DB45-A755-D016D8278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433242</xdr:colOff>
      <xdr:row>42</xdr:row>
      <xdr:rowOff>36529</xdr:rowOff>
    </xdr:from>
    <xdr:to>
      <xdr:col>13</xdr:col>
      <xdr:colOff>62316</xdr:colOff>
      <xdr:row>56</xdr:row>
      <xdr:rowOff>90894</xdr:rowOff>
    </xdr:to>
    <xdr:graphicFrame macro="">
      <xdr:nvGraphicFramePr>
        <xdr:cNvPr id="6" name="Chart 5">
          <a:extLst>
            <a:ext uri="{FF2B5EF4-FFF2-40B4-BE49-F238E27FC236}">
              <a16:creationId xmlns:a16="http://schemas.microsoft.com/office/drawing/2014/main" id="{F5114836-1298-3F4F-9503-A5BE734CE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510180</xdr:colOff>
      <xdr:row>42</xdr:row>
      <xdr:rowOff>36529</xdr:rowOff>
    </xdr:from>
    <xdr:to>
      <xdr:col>25</xdr:col>
      <xdr:colOff>133262</xdr:colOff>
      <xdr:row>56</xdr:row>
      <xdr:rowOff>90894</xdr:rowOff>
    </xdr:to>
    <xdr:graphicFrame macro="">
      <xdr:nvGraphicFramePr>
        <xdr:cNvPr id="7" name="Chart 6">
          <a:extLst>
            <a:ext uri="{FF2B5EF4-FFF2-40B4-BE49-F238E27FC236}">
              <a16:creationId xmlns:a16="http://schemas.microsoft.com/office/drawing/2014/main" id="{7C27B270-D732-6A4F-BDD4-247F7AF5FD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482281</xdr:colOff>
      <xdr:row>42</xdr:row>
      <xdr:rowOff>66727</xdr:rowOff>
    </xdr:from>
    <xdr:to>
      <xdr:col>19</xdr:col>
      <xdr:colOff>104993</xdr:colOff>
      <xdr:row>56</xdr:row>
      <xdr:rowOff>103178</xdr:rowOff>
    </xdr:to>
    <xdr:graphicFrame macro="">
      <xdr:nvGraphicFramePr>
        <xdr:cNvPr id="8" name="Chart 7">
          <a:extLst>
            <a:ext uri="{FF2B5EF4-FFF2-40B4-BE49-F238E27FC236}">
              <a16:creationId xmlns:a16="http://schemas.microsoft.com/office/drawing/2014/main" id="{F55DF9D6-1F77-B448-AA56-496E28FDC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797004</xdr:colOff>
      <xdr:row>62</xdr:row>
      <xdr:rowOff>4373</xdr:rowOff>
    </xdr:from>
    <xdr:to>
      <xdr:col>31</xdr:col>
      <xdr:colOff>374280</xdr:colOff>
      <xdr:row>75</xdr:row>
      <xdr:rowOff>165793</xdr:rowOff>
    </xdr:to>
    <xdr:graphicFrame macro="">
      <xdr:nvGraphicFramePr>
        <xdr:cNvPr id="9" name="Chart 8">
          <a:extLst>
            <a:ext uri="{FF2B5EF4-FFF2-40B4-BE49-F238E27FC236}">
              <a16:creationId xmlns:a16="http://schemas.microsoft.com/office/drawing/2014/main" id="{21212383-07BD-0249-ABDE-2AC6B1D46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782957</xdr:colOff>
      <xdr:row>42</xdr:row>
      <xdr:rowOff>53284</xdr:rowOff>
    </xdr:from>
    <xdr:to>
      <xdr:col>31</xdr:col>
      <xdr:colOff>376252</xdr:colOff>
      <xdr:row>56</xdr:row>
      <xdr:rowOff>11503</xdr:rowOff>
    </xdr:to>
    <xdr:graphicFrame macro="">
      <xdr:nvGraphicFramePr>
        <xdr:cNvPr id="10" name="Chart 9">
          <a:extLst>
            <a:ext uri="{FF2B5EF4-FFF2-40B4-BE49-F238E27FC236}">
              <a16:creationId xmlns:a16="http://schemas.microsoft.com/office/drawing/2014/main" id="{A4B2EFC8-8EC0-5745-AEF1-F909759A3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769172</xdr:colOff>
      <xdr:row>22</xdr:row>
      <xdr:rowOff>29842</xdr:rowOff>
    </xdr:from>
    <xdr:to>
      <xdr:col>31</xdr:col>
      <xdr:colOff>348735</xdr:colOff>
      <xdr:row>36</xdr:row>
      <xdr:rowOff>90810</xdr:rowOff>
    </xdr:to>
    <xdr:graphicFrame macro="">
      <xdr:nvGraphicFramePr>
        <xdr:cNvPr id="11" name="Chart 10">
          <a:extLst>
            <a:ext uri="{FF2B5EF4-FFF2-40B4-BE49-F238E27FC236}">
              <a16:creationId xmlns:a16="http://schemas.microsoft.com/office/drawing/2014/main" id="{8357EFAA-376E-7D4F-B34B-C82409F22C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542585</xdr:colOff>
      <xdr:row>61</xdr:row>
      <xdr:rowOff>180137</xdr:rowOff>
    </xdr:from>
    <xdr:to>
      <xdr:col>25</xdr:col>
      <xdr:colOff>145051</xdr:colOff>
      <xdr:row>75</xdr:row>
      <xdr:rowOff>188604</xdr:rowOff>
    </xdr:to>
    <xdr:graphicFrame macro="">
      <xdr:nvGraphicFramePr>
        <xdr:cNvPr id="12" name="Chart 11">
          <a:extLst>
            <a:ext uri="{FF2B5EF4-FFF2-40B4-BE49-F238E27FC236}">
              <a16:creationId xmlns:a16="http://schemas.microsoft.com/office/drawing/2014/main" id="{3F642558-A428-B64C-8723-2560540055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434496</xdr:colOff>
      <xdr:row>61</xdr:row>
      <xdr:rowOff>180137</xdr:rowOff>
    </xdr:from>
    <xdr:to>
      <xdr:col>13</xdr:col>
      <xdr:colOff>63570</xdr:colOff>
      <xdr:row>75</xdr:row>
      <xdr:rowOff>188604</xdr:rowOff>
    </xdr:to>
    <xdr:graphicFrame macro="">
      <xdr:nvGraphicFramePr>
        <xdr:cNvPr id="13" name="Chart 12">
          <a:extLst>
            <a:ext uri="{FF2B5EF4-FFF2-40B4-BE49-F238E27FC236}">
              <a16:creationId xmlns:a16="http://schemas.microsoft.com/office/drawing/2014/main" id="{F20D45E8-0128-4546-A578-DEB6BACAA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793012</xdr:colOff>
      <xdr:row>18</xdr:row>
      <xdr:rowOff>177782</xdr:rowOff>
    </xdr:from>
    <xdr:to>
      <xdr:col>17</xdr:col>
      <xdr:colOff>333615</xdr:colOff>
      <xdr:row>22</xdr:row>
      <xdr:rowOff>108487</xdr:rowOff>
    </xdr:to>
    <xdr:sp macro="" textlink="">
      <xdr:nvSpPr>
        <xdr:cNvPr id="15" name="TextBox 14">
          <a:extLst>
            <a:ext uri="{FF2B5EF4-FFF2-40B4-BE49-F238E27FC236}">
              <a16:creationId xmlns:a16="http://schemas.microsoft.com/office/drawing/2014/main" id="{10B7B7BA-6BA6-2B41-AD7A-B2B330C40DD4}"/>
            </a:ext>
          </a:extLst>
        </xdr:cNvPr>
        <xdr:cNvSpPr txBox="1"/>
      </xdr:nvSpPr>
      <xdr:spPr>
        <a:xfrm>
          <a:off x="12527812" y="3835382"/>
          <a:ext cx="2055203" cy="743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600" b="1">
              <a:solidFill>
                <a:schemeClr val="bg1"/>
              </a:solidFill>
            </a:rPr>
            <a:t>Finanzen</a:t>
          </a:r>
        </a:p>
        <a:p>
          <a:pPr algn="ctr"/>
          <a:endParaRPr lang="en-GB" sz="3600" b="1">
            <a:solidFill>
              <a:schemeClr val="bg1"/>
            </a:solidFill>
          </a:endParaRPr>
        </a:p>
      </xdr:txBody>
    </xdr:sp>
    <xdr:clientData/>
  </xdr:twoCellAnchor>
  <xdr:twoCellAnchor>
    <xdr:from>
      <xdr:col>13</xdr:col>
      <xdr:colOff>490330</xdr:colOff>
      <xdr:row>61</xdr:row>
      <xdr:rowOff>180137</xdr:rowOff>
    </xdr:from>
    <xdr:to>
      <xdr:col>19</xdr:col>
      <xdr:colOff>95218</xdr:colOff>
      <xdr:row>75</xdr:row>
      <xdr:rowOff>188604</xdr:rowOff>
    </xdr:to>
    <xdr:graphicFrame macro="">
      <xdr:nvGraphicFramePr>
        <xdr:cNvPr id="16" name="Chart 15">
          <a:extLst>
            <a:ext uri="{FF2B5EF4-FFF2-40B4-BE49-F238E27FC236}">
              <a16:creationId xmlns:a16="http://schemas.microsoft.com/office/drawing/2014/main" id="{C60B11A4-0AE0-2443-BC5D-EC8FB07AD7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709534</xdr:colOff>
      <xdr:row>39</xdr:row>
      <xdr:rowOff>18902</xdr:rowOff>
    </xdr:from>
    <xdr:to>
      <xdr:col>17</xdr:col>
      <xdr:colOff>250137</xdr:colOff>
      <xdr:row>42</xdr:row>
      <xdr:rowOff>175839</xdr:rowOff>
    </xdr:to>
    <xdr:sp macro="" textlink="">
      <xdr:nvSpPr>
        <xdr:cNvPr id="17" name="TextBox 16">
          <a:extLst>
            <a:ext uri="{FF2B5EF4-FFF2-40B4-BE49-F238E27FC236}">
              <a16:creationId xmlns:a16="http://schemas.microsoft.com/office/drawing/2014/main" id="{AAA8A2D6-1053-9C47-A5CE-9AB52902CD5F}"/>
            </a:ext>
          </a:extLst>
        </xdr:cNvPr>
        <xdr:cNvSpPr txBox="1"/>
      </xdr:nvSpPr>
      <xdr:spPr>
        <a:xfrm>
          <a:off x="12444334" y="7943702"/>
          <a:ext cx="2055203" cy="7665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600" b="1">
              <a:solidFill>
                <a:schemeClr val="bg1"/>
              </a:solidFill>
            </a:rPr>
            <a:t>Kunden</a:t>
          </a:r>
        </a:p>
        <a:p>
          <a:pPr algn="ctr"/>
          <a:endParaRPr lang="en-GB" sz="3600" b="1">
            <a:solidFill>
              <a:schemeClr val="bg1"/>
            </a:solidFill>
          </a:endParaRPr>
        </a:p>
      </xdr:txBody>
    </xdr:sp>
    <xdr:clientData/>
  </xdr:twoCellAnchor>
  <xdr:twoCellAnchor>
    <xdr:from>
      <xdr:col>12</xdr:col>
      <xdr:colOff>524886</xdr:colOff>
      <xdr:row>58</xdr:row>
      <xdr:rowOff>99436</xdr:rowOff>
    </xdr:from>
    <xdr:to>
      <xdr:col>20</xdr:col>
      <xdr:colOff>390933</xdr:colOff>
      <xdr:row>62</xdr:row>
      <xdr:rowOff>52987</xdr:rowOff>
    </xdr:to>
    <xdr:sp macro="" textlink="">
      <xdr:nvSpPr>
        <xdr:cNvPr id="18" name="TextBox 17">
          <a:extLst>
            <a:ext uri="{FF2B5EF4-FFF2-40B4-BE49-F238E27FC236}">
              <a16:creationId xmlns:a16="http://schemas.microsoft.com/office/drawing/2014/main" id="{AC77650A-62B0-7F49-AAC0-B5A000642A50}"/>
            </a:ext>
          </a:extLst>
        </xdr:cNvPr>
        <xdr:cNvSpPr txBox="1"/>
      </xdr:nvSpPr>
      <xdr:spPr>
        <a:xfrm>
          <a:off x="10583286" y="11885036"/>
          <a:ext cx="6571647" cy="766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600" b="1">
              <a:solidFill>
                <a:schemeClr val="bg1"/>
              </a:solidFill>
            </a:rPr>
            <a:t>Mitarbeiter &amp; Nachhaltigkeit </a:t>
          </a:r>
        </a:p>
      </xdr:txBody>
    </xdr:sp>
    <xdr:clientData/>
  </xdr:twoCellAnchor>
  <xdr:twoCellAnchor>
    <xdr:from>
      <xdr:col>25</xdr:col>
      <xdr:colOff>445521</xdr:colOff>
      <xdr:row>19</xdr:row>
      <xdr:rowOff>36857</xdr:rowOff>
    </xdr:from>
    <xdr:to>
      <xdr:col>31</xdr:col>
      <xdr:colOff>770527</xdr:colOff>
      <xdr:row>22</xdr:row>
      <xdr:rowOff>179330</xdr:rowOff>
    </xdr:to>
    <xdr:sp macro="" textlink="">
      <xdr:nvSpPr>
        <xdr:cNvPr id="19" name="TextBox 18">
          <a:extLst>
            <a:ext uri="{FF2B5EF4-FFF2-40B4-BE49-F238E27FC236}">
              <a16:creationId xmlns:a16="http://schemas.microsoft.com/office/drawing/2014/main" id="{2A2E326D-1C3F-2049-83A7-8B229E8D2FAC}"/>
            </a:ext>
          </a:extLst>
        </xdr:cNvPr>
        <xdr:cNvSpPr txBox="1"/>
      </xdr:nvSpPr>
      <xdr:spPr>
        <a:xfrm>
          <a:off x="21400521" y="3897657"/>
          <a:ext cx="5354206" cy="752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GB" sz="3200" b="1">
              <a:solidFill>
                <a:schemeClr val="bg1"/>
              </a:solidFill>
            </a:rPr>
            <a:t>Interne Geschäftsprozesse</a:t>
          </a:r>
        </a:p>
        <a:p>
          <a:pPr algn="ctr"/>
          <a:endParaRPr lang="en-GB" sz="3200" b="1">
            <a:solidFill>
              <a:schemeClr val="bg1"/>
            </a:solidFill>
          </a:endParaRPr>
        </a:p>
      </xdr:txBody>
    </xdr:sp>
    <xdr:clientData/>
  </xdr:twoCellAnchor>
  <xdr:twoCellAnchor>
    <xdr:from>
      <xdr:col>7</xdr:col>
      <xdr:colOff>320167</xdr:colOff>
      <xdr:row>18</xdr:row>
      <xdr:rowOff>152400</xdr:rowOff>
    </xdr:from>
    <xdr:to>
      <xdr:col>25</xdr:col>
      <xdr:colOff>304799</xdr:colOff>
      <xdr:row>37</xdr:row>
      <xdr:rowOff>25400</xdr:rowOff>
    </xdr:to>
    <xdr:sp macro="" textlink="">
      <xdr:nvSpPr>
        <xdr:cNvPr id="20" name="Rounded Rectangle 19">
          <a:extLst>
            <a:ext uri="{FF2B5EF4-FFF2-40B4-BE49-F238E27FC236}">
              <a16:creationId xmlns:a16="http://schemas.microsoft.com/office/drawing/2014/main" id="{BEC4316D-47E1-118F-A3C7-7CC9F4DD1BFB}"/>
            </a:ext>
          </a:extLst>
        </xdr:cNvPr>
        <xdr:cNvSpPr/>
      </xdr:nvSpPr>
      <xdr:spPr>
        <a:xfrm>
          <a:off x="6187567" y="3810000"/>
          <a:ext cx="15072232" cy="3733800"/>
        </a:xfrm>
        <a:prstGeom prst="roundRect">
          <a:avLst>
            <a:gd name="adj" fmla="val 7597"/>
          </a:avLst>
        </a:prstGeom>
        <a:noFill/>
        <a:ln w="76200">
          <a:solidFill>
            <a:schemeClr val="accent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7</xdr:col>
      <xdr:colOff>315186</xdr:colOff>
      <xdr:row>38</xdr:row>
      <xdr:rowOff>146845</xdr:rowOff>
    </xdr:from>
    <xdr:to>
      <xdr:col>25</xdr:col>
      <xdr:colOff>299818</xdr:colOff>
      <xdr:row>57</xdr:row>
      <xdr:rowOff>19845</xdr:rowOff>
    </xdr:to>
    <xdr:sp macro="" textlink="">
      <xdr:nvSpPr>
        <xdr:cNvPr id="24" name="Rounded Rectangle 23">
          <a:extLst>
            <a:ext uri="{FF2B5EF4-FFF2-40B4-BE49-F238E27FC236}">
              <a16:creationId xmlns:a16="http://schemas.microsoft.com/office/drawing/2014/main" id="{AEF1EE67-0E23-164A-9A8C-A78CAB8FDAD8}"/>
            </a:ext>
          </a:extLst>
        </xdr:cNvPr>
        <xdr:cNvSpPr/>
      </xdr:nvSpPr>
      <xdr:spPr>
        <a:xfrm>
          <a:off x="6182586" y="7868445"/>
          <a:ext cx="15072232" cy="3733800"/>
        </a:xfrm>
        <a:prstGeom prst="roundRect">
          <a:avLst>
            <a:gd name="adj" fmla="val 7597"/>
          </a:avLst>
        </a:prstGeom>
        <a:noFill/>
        <a:ln w="76200">
          <a:solidFill>
            <a:schemeClr val="accent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7</xdr:col>
      <xdr:colOff>349055</xdr:colOff>
      <xdr:row>58</xdr:row>
      <xdr:rowOff>28315</xdr:rowOff>
    </xdr:from>
    <xdr:to>
      <xdr:col>25</xdr:col>
      <xdr:colOff>333687</xdr:colOff>
      <xdr:row>76</xdr:row>
      <xdr:rowOff>104515</xdr:rowOff>
    </xdr:to>
    <xdr:sp macro="" textlink="">
      <xdr:nvSpPr>
        <xdr:cNvPr id="25" name="Rounded Rectangle 24">
          <a:extLst>
            <a:ext uri="{FF2B5EF4-FFF2-40B4-BE49-F238E27FC236}">
              <a16:creationId xmlns:a16="http://schemas.microsoft.com/office/drawing/2014/main" id="{D39C4A9F-1A64-DC46-86DD-BF0235CF7B79}"/>
            </a:ext>
          </a:extLst>
        </xdr:cNvPr>
        <xdr:cNvSpPr/>
      </xdr:nvSpPr>
      <xdr:spPr>
        <a:xfrm>
          <a:off x="6216455" y="11813915"/>
          <a:ext cx="15072232" cy="3733800"/>
        </a:xfrm>
        <a:prstGeom prst="roundRect">
          <a:avLst>
            <a:gd name="adj" fmla="val 7597"/>
          </a:avLst>
        </a:prstGeom>
        <a:noFill/>
        <a:ln w="76200">
          <a:solidFill>
            <a:schemeClr val="accent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25</xdr:col>
      <xdr:colOff>578063</xdr:colOff>
      <xdr:row>18</xdr:row>
      <xdr:rowOff>161859</xdr:rowOff>
    </xdr:from>
    <xdr:to>
      <xdr:col>31</xdr:col>
      <xdr:colOff>575734</xdr:colOff>
      <xdr:row>76</xdr:row>
      <xdr:rowOff>171938</xdr:rowOff>
    </xdr:to>
    <xdr:sp macro="" textlink="">
      <xdr:nvSpPr>
        <xdr:cNvPr id="26" name="Rounded Rectangle 25">
          <a:extLst>
            <a:ext uri="{FF2B5EF4-FFF2-40B4-BE49-F238E27FC236}">
              <a16:creationId xmlns:a16="http://schemas.microsoft.com/office/drawing/2014/main" id="{1C7C159B-B584-CE40-BB00-D3B2B42921CC}"/>
            </a:ext>
          </a:extLst>
        </xdr:cNvPr>
        <xdr:cNvSpPr/>
      </xdr:nvSpPr>
      <xdr:spPr>
        <a:xfrm>
          <a:off x="21533063" y="3819459"/>
          <a:ext cx="5026871" cy="11795679"/>
        </a:xfrm>
        <a:prstGeom prst="roundRect">
          <a:avLst>
            <a:gd name="adj" fmla="val 7597"/>
          </a:avLst>
        </a:prstGeom>
        <a:noFill/>
        <a:ln w="76200">
          <a:solidFill>
            <a:schemeClr val="accent2">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oneCellAnchor>
    <xdr:from>
      <xdr:col>17</xdr:col>
      <xdr:colOff>43794</xdr:colOff>
      <xdr:row>10</xdr:row>
      <xdr:rowOff>196192</xdr:rowOff>
    </xdr:from>
    <xdr:ext cx="4830361" cy="1344663"/>
    <xdr:sp macro="" textlink="">
      <xdr:nvSpPr>
        <xdr:cNvPr id="27" name="TextBox 26">
          <a:extLst>
            <a:ext uri="{FF2B5EF4-FFF2-40B4-BE49-F238E27FC236}">
              <a16:creationId xmlns:a16="http://schemas.microsoft.com/office/drawing/2014/main" id="{B41BF59B-159C-5498-4A42-9804D04649AE}"/>
            </a:ext>
          </a:extLst>
        </xdr:cNvPr>
        <xdr:cNvSpPr txBox="1"/>
      </xdr:nvSpPr>
      <xdr:spPr>
        <a:xfrm>
          <a:off x="14293194" y="2228192"/>
          <a:ext cx="4830361" cy="13446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GB" sz="8000" b="1">
              <a:solidFill>
                <a:schemeClr val="bg1"/>
              </a:solidFill>
            </a:rPr>
            <a:t>Dashboard</a:t>
          </a:r>
        </a:p>
      </xdr:txBody>
    </xdr:sp>
    <xdr:clientData/>
  </xdr:oneCellAnchor>
  <xdr:twoCellAnchor>
    <xdr:from>
      <xdr:col>32</xdr:col>
      <xdr:colOff>67829</xdr:colOff>
      <xdr:row>20</xdr:row>
      <xdr:rowOff>45720</xdr:rowOff>
    </xdr:from>
    <xdr:to>
      <xdr:col>34</xdr:col>
      <xdr:colOff>404495</xdr:colOff>
      <xdr:row>34</xdr:row>
      <xdr:rowOff>130864</xdr:rowOff>
    </xdr:to>
    <xdr:grpSp>
      <xdr:nvGrpSpPr>
        <xdr:cNvPr id="32" name="Group 31">
          <a:extLst>
            <a:ext uri="{FF2B5EF4-FFF2-40B4-BE49-F238E27FC236}">
              <a16:creationId xmlns:a16="http://schemas.microsoft.com/office/drawing/2014/main" id="{3D3D8BD9-BCC9-B8F8-B538-9A251B2E8477}"/>
            </a:ext>
          </a:extLst>
        </xdr:cNvPr>
        <xdr:cNvGrpSpPr/>
      </xdr:nvGrpSpPr>
      <xdr:grpSpPr>
        <a:xfrm>
          <a:off x="26619296" y="4109720"/>
          <a:ext cx="1996132" cy="2929944"/>
          <a:chOff x="6094931" y="736600"/>
          <a:chExt cx="1972109" cy="2929944"/>
        </a:xfrm>
      </xdr:grpSpPr>
      <xdr:sp macro="" textlink="">
        <xdr:nvSpPr>
          <xdr:cNvPr id="28" name="Rounded Rectangle 27">
            <a:extLst>
              <a:ext uri="{FF2B5EF4-FFF2-40B4-BE49-F238E27FC236}">
                <a16:creationId xmlns:a16="http://schemas.microsoft.com/office/drawing/2014/main" id="{DEB0E331-BBEF-9F58-0E60-19397D6FFCE6}"/>
              </a:ext>
            </a:extLst>
          </xdr:cNvPr>
          <xdr:cNvSpPr/>
        </xdr:nvSpPr>
        <xdr:spPr>
          <a:xfrm>
            <a:off x="6094931" y="736600"/>
            <a:ext cx="1972109" cy="2929944"/>
          </a:xfrm>
          <a:prstGeom prst="roundRect">
            <a:avLst/>
          </a:prstGeom>
          <a:solidFill>
            <a:schemeClr val="bg1"/>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mc:AlternateContent xmlns:mc="http://schemas.openxmlformats.org/markup-compatibility/2006">
        <mc:Choice xmlns:a14="http://schemas.microsoft.com/office/drawing/2010/main" Requires="a14">
          <xdr:graphicFrame macro="">
            <xdr:nvGraphicFramePr>
              <xdr:cNvPr id="30" name="Jahre">
                <a:extLst>
                  <a:ext uri="{FF2B5EF4-FFF2-40B4-BE49-F238E27FC236}">
                    <a16:creationId xmlns:a16="http://schemas.microsoft.com/office/drawing/2014/main" id="{0ABD81EE-4E83-D810-C1B4-C40E89C53B8F}"/>
                  </a:ext>
                </a:extLst>
              </xdr:cNvPr>
              <xdr:cNvGraphicFramePr/>
            </xdr:nvGraphicFramePr>
            <xdr:xfrm>
              <a:off x="6235489" y="847535"/>
              <a:ext cx="1676030" cy="2745995"/>
            </xdr:xfrm>
            <a:graphic>
              <a:graphicData uri="http://schemas.microsoft.com/office/drawing/2010/slicer">
                <sle:slicer xmlns:sle="http://schemas.microsoft.com/office/drawing/2010/slicer" name="Jahre"/>
              </a:graphicData>
            </a:graphic>
          </xdr:graphicFrame>
        </mc:Choice>
        <mc:Fallback>
          <xdr:sp macro="" textlink="">
            <xdr:nvSpPr>
              <xdr:cNvPr id="0" name=""/>
              <xdr:cNvSpPr>
                <a:spLocks noTextEdit="1"/>
              </xdr:cNvSpPr>
            </xdr:nvSpPr>
            <xdr:spPr>
              <a:xfrm>
                <a:off x="26761566" y="4220655"/>
                <a:ext cx="1696446" cy="27459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20</xdr:col>
      <xdr:colOff>111280</xdr:colOff>
      <xdr:row>13</xdr:row>
      <xdr:rowOff>112420</xdr:rowOff>
    </xdr:from>
    <xdr:to>
      <xdr:col>22</xdr:col>
      <xdr:colOff>1344179</xdr:colOff>
      <xdr:row>27</xdr:row>
      <xdr:rowOff>53558</xdr:rowOff>
    </xdr:to>
    <xdr:graphicFrame macro="">
      <xdr:nvGraphicFramePr>
        <xdr:cNvPr id="2" name="Chart 1">
          <a:extLst>
            <a:ext uri="{FF2B5EF4-FFF2-40B4-BE49-F238E27FC236}">
              <a16:creationId xmlns:a16="http://schemas.microsoft.com/office/drawing/2014/main" id="{BFADA353-B9CE-7EF3-EB17-FA582D983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932467</xdr:colOff>
      <xdr:row>13</xdr:row>
      <xdr:rowOff>116410</xdr:rowOff>
    </xdr:from>
    <xdr:to>
      <xdr:col>19</xdr:col>
      <xdr:colOff>1636538</xdr:colOff>
      <xdr:row>27</xdr:row>
      <xdr:rowOff>49568</xdr:rowOff>
    </xdr:to>
    <xdr:graphicFrame macro="">
      <xdr:nvGraphicFramePr>
        <xdr:cNvPr id="3" name="Chart 2">
          <a:extLst>
            <a:ext uri="{FF2B5EF4-FFF2-40B4-BE49-F238E27FC236}">
              <a16:creationId xmlns:a16="http://schemas.microsoft.com/office/drawing/2014/main" id="{07E2474A-A2EA-3451-6C01-2788989C22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314960</xdr:colOff>
      <xdr:row>35</xdr:row>
      <xdr:rowOff>10160</xdr:rowOff>
    </xdr:from>
    <xdr:to>
      <xdr:col>9</xdr:col>
      <xdr:colOff>731520</xdr:colOff>
      <xdr:row>48</xdr:row>
      <xdr:rowOff>111760</xdr:rowOff>
    </xdr:to>
    <xdr:graphicFrame macro="">
      <xdr:nvGraphicFramePr>
        <xdr:cNvPr id="4" name="Chart 3">
          <a:extLst>
            <a:ext uri="{FF2B5EF4-FFF2-40B4-BE49-F238E27FC236}">
              <a16:creationId xmlns:a16="http://schemas.microsoft.com/office/drawing/2014/main" id="{9338A6DA-C69D-1D4B-804F-2BD971EAD4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160584</xdr:colOff>
      <xdr:row>13</xdr:row>
      <xdr:rowOff>112420</xdr:rowOff>
    </xdr:from>
    <xdr:to>
      <xdr:col>17</xdr:col>
      <xdr:colOff>510391</xdr:colOff>
      <xdr:row>27</xdr:row>
      <xdr:rowOff>53558</xdr:rowOff>
    </xdr:to>
    <xdr:graphicFrame macro="">
      <xdr:nvGraphicFramePr>
        <xdr:cNvPr id="5" name="Chart 4">
          <a:extLst>
            <a:ext uri="{FF2B5EF4-FFF2-40B4-BE49-F238E27FC236}">
              <a16:creationId xmlns:a16="http://schemas.microsoft.com/office/drawing/2014/main" id="{B211C41F-A87F-692E-E3D9-5B1EAC613E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144018</xdr:colOff>
      <xdr:row>30</xdr:row>
      <xdr:rowOff>94289</xdr:rowOff>
    </xdr:from>
    <xdr:to>
      <xdr:col>17</xdr:col>
      <xdr:colOff>482684</xdr:colOff>
      <xdr:row>44</xdr:row>
      <xdr:rowOff>30121</xdr:rowOff>
    </xdr:to>
    <xdr:graphicFrame macro="">
      <xdr:nvGraphicFramePr>
        <xdr:cNvPr id="6" name="Chart 5">
          <a:extLst>
            <a:ext uri="{FF2B5EF4-FFF2-40B4-BE49-F238E27FC236}">
              <a16:creationId xmlns:a16="http://schemas.microsoft.com/office/drawing/2014/main" id="{2596B11B-D6ED-0496-0A28-1F9D83D74D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87908</xdr:colOff>
      <xdr:row>30</xdr:row>
      <xdr:rowOff>94289</xdr:rowOff>
    </xdr:from>
    <xdr:to>
      <xdr:col>22</xdr:col>
      <xdr:colOff>1327724</xdr:colOff>
      <xdr:row>44</xdr:row>
      <xdr:rowOff>30121</xdr:rowOff>
    </xdr:to>
    <xdr:graphicFrame macro="">
      <xdr:nvGraphicFramePr>
        <xdr:cNvPr id="7" name="Chart 6">
          <a:extLst>
            <a:ext uri="{FF2B5EF4-FFF2-40B4-BE49-F238E27FC236}">
              <a16:creationId xmlns:a16="http://schemas.microsoft.com/office/drawing/2014/main" id="{112DF9C9-63E2-96A9-0C9C-7722B5D848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912724</xdr:colOff>
      <xdr:row>30</xdr:row>
      <xdr:rowOff>124487</xdr:rowOff>
    </xdr:from>
    <xdr:to>
      <xdr:col>19</xdr:col>
      <xdr:colOff>1607882</xdr:colOff>
      <xdr:row>44</xdr:row>
      <xdr:rowOff>60319</xdr:rowOff>
    </xdr:to>
    <xdr:graphicFrame macro="">
      <xdr:nvGraphicFramePr>
        <xdr:cNvPr id="8" name="Chart 7">
          <a:extLst>
            <a:ext uri="{FF2B5EF4-FFF2-40B4-BE49-F238E27FC236}">
              <a16:creationId xmlns:a16="http://schemas.microsoft.com/office/drawing/2014/main" id="{42EDAAA0-AC44-67E7-B3DF-459ADF3A5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832400</xdr:colOff>
      <xdr:row>47</xdr:row>
      <xdr:rowOff>130859</xdr:rowOff>
    </xdr:from>
    <xdr:to>
      <xdr:col>27</xdr:col>
      <xdr:colOff>622919</xdr:colOff>
      <xdr:row>60</xdr:row>
      <xdr:rowOff>182211</xdr:rowOff>
    </xdr:to>
    <xdr:graphicFrame macro="">
      <xdr:nvGraphicFramePr>
        <xdr:cNvPr id="9" name="Chart 8">
          <a:extLst>
            <a:ext uri="{FF2B5EF4-FFF2-40B4-BE49-F238E27FC236}">
              <a16:creationId xmlns:a16="http://schemas.microsoft.com/office/drawing/2014/main" id="{1DF35521-3C89-1C16-545A-B27DC41C0F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895586</xdr:colOff>
      <xdr:row>30</xdr:row>
      <xdr:rowOff>126914</xdr:rowOff>
    </xdr:from>
    <xdr:to>
      <xdr:col>27</xdr:col>
      <xdr:colOff>691282</xdr:colOff>
      <xdr:row>43</xdr:row>
      <xdr:rowOff>178266</xdr:rowOff>
    </xdr:to>
    <xdr:graphicFrame macro="">
      <xdr:nvGraphicFramePr>
        <xdr:cNvPr id="11" name="Chart 10">
          <a:extLst>
            <a:ext uri="{FF2B5EF4-FFF2-40B4-BE49-F238E27FC236}">
              <a16:creationId xmlns:a16="http://schemas.microsoft.com/office/drawing/2014/main" id="{4DFD7D41-D890-C3BA-2189-FE13E1A818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885827</xdr:colOff>
      <xdr:row>13</xdr:row>
      <xdr:rowOff>113606</xdr:rowOff>
    </xdr:from>
    <xdr:to>
      <xdr:col>27</xdr:col>
      <xdr:colOff>667791</xdr:colOff>
      <xdr:row>27</xdr:row>
      <xdr:rowOff>47625</xdr:rowOff>
    </xdr:to>
    <xdr:graphicFrame macro="">
      <xdr:nvGraphicFramePr>
        <xdr:cNvPr id="12" name="Chart 11">
          <a:extLst>
            <a:ext uri="{FF2B5EF4-FFF2-40B4-BE49-F238E27FC236}">
              <a16:creationId xmlns:a16="http://schemas.microsoft.com/office/drawing/2014/main" id="{D087E8E4-32B6-95D5-A3A7-10178715DD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87607</xdr:colOff>
      <xdr:row>47</xdr:row>
      <xdr:rowOff>94618</xdr:rowOff>
    </xdr:from>
    <xdr:to>
      <xdr:col>22</xdr:col>
      <xdr:colOff>1306807</xdr:colOff>
      <xdr:row>60</xdr:row>
      <xdr:rowOff>196218</xdr:rowOff>
    </xdr:to>
    <xdr:graphicFrame macro="">
      <xdr:nvGraphicFramePr>
        <xdr:cNvPr id="13" name="Chart 12">
          <a:extLst>
            <a:ext uri="{FF2B5EF4-FFF2-40B4-BE49-F238E27FC236}">
              <a16:creationId xmlns:a16="http://schemas.microsoft.com/office/drawing/2014/main" id="{4F5B2AB9-AB9C-5AED-C710-EF167E8A59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145272</xdr:colOff>
      <xdr:row>47</xdr:row>
      <xdr:rowOff>94618</xdr:rowOff>
    </xdr:from>
    <xdr:to>
      <xdr:col>17</xdr:col>
      <xdr:colOff>483938</xdr:colOff>
      <xdr:row>60</xdr:row>
      <xdr:rowOff>196218</xdr:rowOff>
    </xdr:to>
    <xdr:graphicFrame macro="">
      <xdr:nvGraphicFramePr>
        <xdr:cNvPr id="14" name="Chart 13">
          <a:extLst>
            <a:ext uri="{FF2B5EF4-FFF2-40B4-BE49-F238E27FC236}">
              <a16:creationId xmlns:a16="http://schemas.microsoft.com/office/drawing/2014/main" id="{2B23D96D-397A-D2C2-5A4B-E1E9096151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12</xdr:col>
      <xdr:colOff>593965</xdr:colOff>
      <xdr:row>22</xdr:row>
      <xdr:rowOff>30305</xdr:rowOff>
    </xdr:from>
    <xdr:to>
      <xdr:col>15</xdr:col>
      <xdr:colOff>4625</xdr:colOff>
      <xdr:row>35</xdr:row>
      <xdr:rowOff>4553</xdr:rowOff>
    </xdr:to>
    <mc:AlternateContent xmlns:mc="http://schemas.openxmlformats.org/markup-compatibility/2006">
      <mc:Choice xmlns:a14="http://schemas.microsoft.com/office/drawing/2010/main" Requires="a14">
        <xdr:graphicFrame macro="">
          <xdr:nvGraphicFramePr>
            <xdr:cNvPr id="16" name="Jahr">
              <a:extLst>
                <a:ext uri="{FF2B5EF4-FFF2-40B4-BE49-F238E27FC236}">
                  <a16:creationId xmlns:a16="http://schemas.microsoft.com/office/drawing/2014/main" id="{E5A41F09-4615-03A7-2F7C-30EB56A92701}"/>
                </a:ext>
              </a:extLst>
            </xdr:cNvPr>
            <xdr:cNvGraphicFramePr/>
          </xdr:nvGraphicFramePr>
          <xdr:xfrm>
            <a:off x="0" y="0"/>
            <a:ext cx="0" cy="0"/>
          </xdr:xfrm>
          <a:graphic>
            <a:graphicData uri="http://schemas.microsoft.com/office/drawing/2010/slicer">
              <sle:slicer xmlns:sle="http://schemas.microsoft.com/office/drawing/2010/slicer" name="Jahr"/>
            </a:graphicData>
          </a:graphic>
        </xdr:graphicFrame>
      </mc:Choice>
      <mc:Fallback>
        <xdr:sp macro="" textlink="">
          <xdr:nvSpPr>
            <xdr:cNvPr id="0" name=""/>
            <xdr:cNvSpPr>
              <a:spLocks noTextEdit="1"/>
            </xdr:cNvSpPr>
          </xdr:nvSpPr>
          <xdr:spPr>
            <a:xfrm>
              <a:off x="10391108" y="5654591"/>
              <a:ext cx="1799469" cy="27259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102876</xdr:colOff>
      <xdr:row>10</xdr:row>
      <xdr:rowOff>1038665</xdr:rowOff>
    </xdr:from>
    <xdr:to>
      <xdr:col>19</xdr:col>
      <xdr:colOff>185505</xdr:colOff>
      <xdr:row>13</xdr:row>
      <xdr:rowOff>183835</xdr:rowOff>
    </xdr:to>
    <xdr:sp macro="" textlink="">
      <xdr:nvSpPr>
        <xdr:cNvPr id="18" name="TextBox 17">
          <a:extLst>
            <a:ext uri="{FF2B5EF4-FFF2-40B4-BE49-F238E27FC236}">
              <a16:creationId xmlns:a16="http://schemas.microsoft.com/office/drawing/2014/main" id="{A5C3BB7D-4BA3-C0CE-2410-425C16AAAF8E}"/>
            </a:ext>
          </a:extLst>
        </xdr:cNvPr>
        <xdr:cNvSpPr txBox="1"/>
      </xdr:nvSpPr>
      <xdr:spPr>
        <a:xfrm>
          <a:off x="18624898" y="3036418"/>
          <a:ext cx="2023304" cy="729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600" b="1">
              <a:solidFill>
                <a:schemeClr val="tx1"/>
              </a:solidFill>
            </a:rPr>
            <a:t>Finanzen</a:t>
          </a:r>
        </a:p>
        <a:p>
          <a:pPr algn="ctr"/>
          <a:endParaRPr lang="en-GB" sz="3600" b="1">
            <a:solidFill>
              <a:schemeClr val="tx1"/>
            </a:solidFill>
          </a:endParaRPr>
        </a:p>
      </xdr:txBody>
    </xdr:sp>
    <xdr:clientData/>
  </xdr:twoCellAnchor>
  <xdr:twoCellAnchor>
    <xdr:from>
      <xdr:col>17</xdr:col>
      <xdr:colOff>920773</xdr:colOff>
      <xdr:row>47</xdr:row>
      <xdr:rowOff>94618</xdr:rowOff>
    </xdr:from>
    <xdr:to>
      <xdr:col>19</xdr:col>
      <xdr:colOff>1598107</xdr:colOff>
      <xdr:row>60</xdr:row>
      <xdr:rowOff>196218</xdr:rowOff>
    </xdr:to>
    <xdr:graphicFrame macro="">
      <xdr:nvGraphicFramePr>
        <xdr:cNvPr id="21" name="Chart 20">
          <a:extLst>
            <a:ext uri="{FF2B5EF4-FFF2-40B4-BE49-F238E27FC236}">
              <a16:creationId xmlns:a16="http://schemas.microsoft.com/office/drawing/2014/main" id="{327535D8-BF7B-2171-80EF-90C585869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19398</xdr:colOff>
      <xdr:row>27</xdr:row>
      <xdr:rowOff>102718</xdr:rowOff>
    </xdr:from>
    <xdr:to>
      <xdr:col>19</xdr:col>
      <xdr:colOff>102027</xdr:colOff>
      <xdr:row>31</xdr:row>
      <xdr:rowOff>22588</xdr:rowOff>
    </xdr:to>
    <xdr:sp macro="" textlink="">
      <xdr:nvSpPr>
        <xdr:cNvPr id="23" name="TextBox 22">
          <a:extLst>
            <a:ext uri="{FF2B5EF4-FFF2-40B4-BE49-F238E27FC236}">
              <a16:creationId xmlns:a16="http://schemas.microsoft.com/office/drawing/2014/main" id="{9F43E34B-C332-2047-8057-5E471F4C10C2}"/>
            </a:ext>
          </a:extLst>
        </xdr:cNvPr>
        <xdr:cNvSpPr txBox="1"/>
      </xdr:nvSpPr>
      <xdr:spPr>
        <a:xfrm>
          <a:off x="18561398" y="6567018"/>
          <a:ext cx="2025729" cy="732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600" b="1">
              <a:solidFill>
                <a:schemeClr val="tx1"/>
              </a:solidFill>
            </a:rPr>
            <a:t>Kunden</a:t>
          </a:r>
        </a:p>
        <a:p>
          <a:pPr algn="ctr"/>
          <a:endParaRPr lang="en-GB" sz="3600" b="1">
            <a:solidFill>
              <a:schemeClr val="tx1"/>
            </a:solidFill>
          </a:endParaRPr>
        </a:p>
      </xdr:txBody>
    </xdr:sp>
    <xdr:clientData/>
  </xdr:twoCellAnchor>
  <xdr:twoCellAnchor>
    <xdr:from>
      <xdr:col>17</xdr:col>
      <xdr:colOff>129831</xdr:colOff>
      <xdr:row>44</xdr:row>
      <xdr:rowOff>51360</xdr:rowOff>
    </xdr:from>
    <xdr:to>
      <xdr:col>20</xdr:col>
      <xdr:colOff>784085</xdr:colOff>
      <xdr:row>47</xdr:row>
      <xdr:rowOff>170012</xdr:rowOff>
    </xdr:to>
    <xdr:sp macro="" textlink="">
      <xdr:nvSpPr>
        <xdr:cNvPr id="24" name="TextBox 23">
          <a:extLst>
            <a:ext uri="{FF2B5EF4-FFF2-40B4-BE49-F238E27FC236}">
              <a16:creationId xmlns:a16="http://schemas.microsoft.com/office/drawing/2014/main" id="{4A3A33B2-40BD-2544-8610-8269DD745582}"/>
            </a:ext>
          </a:extLst>
        </xdr:cNvPr>
        <xdr:cNvSpPr txBox="1"/>
      </xdr:nvSpPr>
      <xdr:spPr>
        <a:xfrm>
          <a:off x="16739222" y="9780664"/>
          <a:ext cx="6485211" cy="715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3600" b="1">
              <a:solidFill>
                <a:schemeClr val="tx1"/>
              </a:solidFill>
            </a:rPr>
            <a:t>Mitarbeiter- &amp;</a:t>
          </a:r>
          <a:r>
            <a:rPr lang="en-GB" sz="3600" b="1" baseline="0">
              <a:solidFill>
                <a:schemeClr val="tx1"/>
              </a:solidFill>
            </a:rPr>
            <a:t> Co Perspektive</a:t>
          </a:r>
          <a:endParaRPr lang="en-GB" sz="3600" b="1">
            <a:solidFill>
              <a:schemeClr val="tx1"/>
            </a:solidFill>
          </a:endParaRPr>
        </a:p>
        <a:p>
          <a:pPr algn="ctr"/>
          <a:endParaRPr lang="en-GB" sz="3600" b="1">
            <a:solidFill>
              <a:schemeClr val="tx1"/>
            </a:solidFill>
          </a:endParaRPr>
        </a:p>
      </xdr:txBody>
    </xdr:sp>
    <xdr:clientData/>
  </xdr:twoCellAnchor>
  <xdr:twoCellAnchor>
    <xdr:from>
      <xdr:col>23</xdr:col>
      <xdr:colOff>586930</xdr:colOff>
      <xdr:row>10</xdr:row>
      <xdr:rowOff>952824</xdr:rowOff>
    </xdr:from>
    <xdr:to>
      <xdr:col>28</xdr:col>
      <xdr:colOff>297657</xdr:colOff>
      <xdr:row>13</xdr:row>
      <xdr:rowOff>97994</xdr:rowOff>
    </xdr:to>
    <xdr:sp macro="" textlink="">
      <xdr:nvSpPr>
        <xdr:cNvPr id="25" name="TextBox 24">
          <a:extLst>
            <a:ext uri="{FF2B5EF4-FFF2-40B4-BE49-F238E27FC236}">
              <a16:creationId xmlns:a16="http://schemas.microsoft.com/office/drawing/2014/main" id="{034F7683-E018-7D4A-8A35-D1D874464301}"/>
            </a:ext>
          </a:extLst>
        </xdr:cNvPr>
        <xdr:cNvSpPr txBox="1"/>
      </xdr:nvSpPr>
      <xdr:spPr>
        <a:xfrm>
          <a:off x="27753024" y="2937199"/>
          <a:ext cx="5326508" cy="732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ctr" defTabSz="914400" eaLnBrk="1" fontAlgn="auto" latinLnBrk="0" hangingPunct="1">
            <a:lnSpc>
              <a:spcPct val="100000"/>
            </a:lnSpc>
            <a:spcBef>
              <a:spcPts val="0"/>
            </a:spcBef>
            <a:spcAft>
              <a:spcPts val="0"/>
            </a:spcAft>
            <a:buClrTx/>
            <a:buSzTx/>
            <a:buFontTx/>
            <a:buNone/>
            <a:tabLst/>
            <a:defRPr/>
          </a:pPr>
          <a:r>
            <a:rPr lang="en-GB" sz="3600" b="1">
              <a:solidFill>
                <a:schemeClr val="tx1"/>
              </a:solidFill>
            </a:rPr>
            <a:t>Interne Geschäftsprozesse</a:t>
          </a:r>
        </a:p>
        <a:p>
          <a:pPr algn="ctr"/>
          <a:endParaRPr lang="en-GB" sz="36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as Scho" refreshedDate="46157.579242361113" createdVersion="8" refreshedVersion="8" minRefreshableVersion="3" recordCount="7" xr:uid="{35A59A5A-2F24-6842-B58D-3AC5C2C96885}">
  <cacheSource type="worksheet">
    <worksheetSource ref="A1:N8" sheet="Dataset"/>
  </cacheSource>
  <cacheFields count="14">
    <cacheField name="Jahr" numFmtId="0">
      <sharedItems containsSemiMixedTypes="0" containsString="0" containsNumber="1" containsInteger="1" minValue="2019" maxValue="2025" count="7">
        <n v="2019"/>
        <n v="2020"/>
        <n v="2021"/>
        <n v="2022"/>
        <n v="2023"/>
        <n v="2024"/>
        <n v="2025"/>
      </sharedItems>
    </cacheField>
    <cacheField name="Adjusted EBITDA Total" numFmtId="0">
      <sharedItems containsSemiMixedTypes="0" containsString="0" containsNumber="1" minValue="1760.1" maxValue="2800.8"/>
    </cacheField>
    <cacheField name="LTV in %" numFmtId="0">
      <sharedItems containsSemiMixedTypes="0" containsString="0" containsNumber="1" minValue="39.4" maxValue="47.7"/>
    </cacheField>
    <cacheField name="ROI in %" numFmtId="0">
      <sharedItems containsSemiMixedTypes="0" containsString="0" containsNumber="1" minValue="-7.34" maxValue="5.35"/>
    </cacheField>
    <cacheField name="Quellen Kundenzufriedenheit" numFmtId="0">
      <sharedItems containsBlank="1"/>
    </cacheField>
    <cacheField name="Kundenzufriedenheit (CSI) in %" numFmtId="0">
      <sharedItems containsSemiMixedTypes="0" containsString="0" containsNumber="1" minValue="61.2" maxValue="76.5"/>
    </cacheField>
    <cacheField name="Leerstandsquote in %" numFmtId="0">
      <sharedItems containsSemiMixedTypes="0" containsString="0" containsNumber="1" minValue="2" maxValue="2.6"/>
    </cacheField>
    <cacheField name="Mietsteigerung organisch in %" numFmtId="0">
      <sharedItems containsSemiMixedTypes="0" containsString="0" containsNumber="1" minValue="3.1" maxValue="4.0999999999999996"/>
    </cacheField>
    <cacheField name="Gesamtsumme Instandhaltung/Modernisierung" numFmtId="0">
      <sharedItems containsSemiMixedTypes="0" containsString="0" containsNumber="1" minValue="1527" maxValue="2266.3000000000002"/>
    </cacheField>
    <cacheField name="Instandhaltungsaufwand (€/m²)" numFmtId="0">
      <sharedItems containsSemiMixedTypes="0" containsString="0" containsNumber="1" minValue="12.1" maxValue="14.46"/>
    </cacheField>
    <cacheField name="Anzahl neu gebauter Einheiten" numFmtId="0">
      <sharedItems containsSemiMixedTypes="0" containsString="0" containsNumber="1" containsInteger="1" minValue="2088" maxValue="3749"/>
    </cacheField>
    <cacheField name="CO₂-Intensität in kg CO₂e/m²" numFmtId="0">
      <sharedItems containsSemiMixedTypes="0" containsString="0" containsNumber="1" minValue="30.7" maxValue="47.2"/>
    </cacheField>
    <cacheField name="Mitarbeiterzufriedenheit" numFmtId="0">
      <sharedItems containsSemiMixedTypes="0" containsString="0" containsNumber="1" minValue="0" maxValue="0.77"/>
    </cacheField>
    <cacheField name="Bewirtschaftete Einheiten pro Mitarbeiter" numFmtId="0">
      <sharedItems containsSemiMixedTypes="0" containsString="0" containsNumber="1" minValue="40.1" maxValue="51.7"/>
    </cacheField>
  </cacheFields>
  <extLst>
    <ext xmlns:x14="http://schemas.microsoft.com/office/spreadsheetml/2009/9/main" uri="{725AE2AE-9491-48be-B2B4-4EB974FC3084}">
      <x14:pivotCacheDefinition pivotCacheId="66096671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as Scho" refreshedDate="46157.584948263888" createdVersion="8" refreshedVersion="8" minRefreshableVersion="3" recordCount="7" xr:uid="{E3EBA803-E49C-9E41-8F02-26ED4F96242D}">
  <cacheSource type="worksheet">
    <worksheetSource name="Table1"/>
  </cacheSource>
  <cacheFields count="14">
    <cacheField name="Jahr" numFmtId="0">
      <sharedItems containsSemiMixedTypes="0" containsString="0" containsNumber="1" containsInteger="1" minValue="2019" maxValue="2027" count="9">
        <n v="2019"/>
        <n v="2020"/>
        <n v="2021"/>
        <n v="2022"/>
        <n v="2023"/>
        <n v="2024"/>
        <n v="2025"/>
        <n v="2026" u="1"/>
        <n v="2027" u="1"/>
      </sharedItems>
    </cacheField>
    <cacheField name="Adjusted EBITDA Total" numFmtId="0">
      <sharedItems containsSemiMixedTypes="0" containsString="0" containsNumber="1" minValue="1760.1" maxValue="2800.8"/>
    </cacheField>
    <cacheField name="LTV in %" numFmtId="0">
      <sharedItems containsSemiMixedTypes="0" containsString="0" containsNumber="1" minValue="39.4" maxValue="47.7"/>
    </cacheField>
    <cacheField name="ROI in %" numFmtId="0">
      <sharedItems containsSemiMixedTypes="0" containsString="0" containsNumber="1" minValue="-7.34" maxValue="5.35"/>
    </cacheField>
    <cacheField name="Quellen Kundenzufriedenheit" numFmtId="0">
      <sharedItems containsBlank="1"/>
    </cacheField>
    <cacheField name="Kundenzufriedenheit (CSI) in %" numFmtId="0">
      <sharedItems containsSemiMixedTypes="0" containsString="0" containsNumber="1" minValue="61.2" maxValue="76.5"/>
    </cacheField>
    <cacheField name="Leerstandsquote in %" numFmtId="0">
      <sharedItems containsSemiMixedTypes="0" containsString="0" containsNumber="1" minValue="2" maxValue="2.6"/>
    </cacheField>
    <cacheField name="Mietsteigerung organisch in %" numFmtId="0">
      <sharedItems containsSemiMixedTypes="0" containsString="0" containsNumber="1" minValue="3.1" maxValue="4.0999999999999996"/>
    </cacheField>
    <cacheField name="Gesamtsumme Instandhaltung/Modernisierung" numFmtId="0">
      <sharedItems containsSemiMixedTypes="0" containsString="0" containsNumber="1" minValue="1527" maxValue="2266.3000000000002"/>
    </cacheField>
    <cacheField name="Instandhaltungsaufwand (€/m²)" numFmtId="0">
      <sharedItems containsSemiMixedTypes="0" containsString="0" containsNumber="1" minValue="12.1" maxValue="14.46"/>
    </cacheField>
    <cacheField name="Anzahl neu gebauter Einheiten" numFmtId="0">
      <sharedItems containsSemiMixedTypes="0" containsString="0" containsNumber="1" containsInteger="1" minValue="2088" maxValue="3749"/>
    </cacheField>
    <cacheField name="CO₂-Intensität in kg CO₂e/m²" numFmtId="0">
      <sharedItems containsSemiMixedTypes="0" containsString="0" containsNumber="1" minValue="30.7" maxValue="47.2"/>
    </cacheField>
    <cacheField name="Mitarbeiterzufriedenheit" numFmtId="0">
      <sharedItems containsSemiMixedTypes="0" containsString="0" containsNumber="1" minValue="0" maxValue="0.77"/>
    </cacheField>
    <cacheField name="Bewirtschaftete Einheiten pro Mitarbeiter" numFmtId="0">
      <sharedItems containsSemiMixedTypes="0" containsString="0" containsNumber="1" minValue="40.1" maxValue="51.7"/>
    </cacheField>
  </cacheFields>
  <extLst>
    <ext xmlns:x14="http://schemas.microsoft.com/office/spreadsheetml/2009/9/main" uri="{725AE2AE-9491-48be-B2B4-4EB974FC3084}">
      <x14:pivotCacheDefinition pivotCacheId="1673180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1760.1"/>
    <n v="43.1"/>
    <n v="2.29"/>
    <m/>
    <n v="61.2"/>
    <n v="2.6"/>
    <n v="3.9"/>
    <n v="1971.1"/>
    <n v="12.2"/>
    <n v="2092"/>
    <n v="47.2"/>
    <n v="0"/>
    <n v="47.8"/>
  </r>
  <r>
    <x v="1"/>
    <n v="1909.8"/>
    <n v="39.4"/>
    <n v="5.35"/>
    <m/>
    <n v="69.8"/>
    <n v="2.4"/>
    <n v="3.1"/>
    <n v="1935.9"/>
    <n v="12.1"/>
    <n v="2088"/>
    <n v="39.5"/>
    <n v="0"/>
    <n v="46.1"/>
  </r>
  <r>
    <x v="2"/>
    <n v="2254.4"/>
    <n v="45.4"/>
    <n v="2.2999999999999998"/>
    <s v="2021 S.84"/>
    <n v="74.3"/>
    <n v="2.2000000000000002"/>
    <n v="3.8"/>
    <n v="2185.6"/>
    <n v="13.01"/>
    <n v="2200"/>
    <n v="38.4"/>
    <n v="0"/>
    <n v="40.1"/>
  </r>
  <r>
    <x v="3"/>
    <n v="2606.1"/>
    <n v="45.1"/>
    <n v="-0.66"/>
    <m/>
    <n v="75.599999999999994"/>
    <n v="2"/>
    <n v="3.3"/>
    <n v="2266.3000000000002"/>
    <n v="12.86"/>
    <n v="3749"/>
    <n v="33"/>
    <n v="0"/>
    <n v="51.3"/>
  </r>
  <r>
    <x v="4"/>
    <n v="2583.8000000000002"/>
    <n v="47.3"/>
    <n v="-7.34"/>
    <s v="2023 S.77"/>
    <n v="72.400000000000006"/>
    <n v="2"/>
    <n v="3.8"/>
    <n v="1527"/>
    <n v="12.41"/>
    <n v="2460"/>
    <n v="31.7"/>
    <n v="0"/>
    <n v="51.7"/>
  </r>
  <r>
    <x v="5"/>
    <n v="2641.8"/>
    <n v="47.7"/>
    <n v="-1.07"/>
    <s v="2024 S.138"/>
    <n v="75.2"/>
    <n v="2"/>
    <n v="4.0999999999999996"/>
    <n v="1601"/>
    <n v="13.82"/>
    <n v="3747"/>
    <n v="31.2"/>
    <n v="0.75"/>
    <n v="50.9"/>
  </r>
  <r>
    <x v="6"/>
    <n v="2800.8"/>
    <n v="45.4"/>
    <n v="4.49"/>
    <s v="2025 S.55"/>
    <n v="76.5"/>
    <n v="2.1"/>
    <n v="4.0999999999999996"/>
    <n v="1972.7"/>
    <n v="14.46"/>
    <n v="2090"/>
    <n v="30.7"/>
    <n v="0.77"/>
    <n v="47.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1760.1"/>
    <n v="43.1"/>
    <n v="2.29"/>
    <m/>
    <n v="61.2"/>
    <n v="2.6"/>
    <n v="3.9"/>
    <n v="1971.1"/>
    <n v="12.2"/>
    <n v="2092"/>
    <n v="47.2"/>
    <n v="0"/>
    <n v="47.8"/>
  </r>
  <r>
    <x v="1"/>
    <n v="1909.8"/>
    <n v="39.4"/>
    <n v="5.35"/>
    <m/>
    <n v="69.8"/>
    <n v="2.4"/>
    <n v="3.1"/>
    <n v="1935.9"/>
    <n v="12.1"/>
    <n v="2088"/>
    <n v="39.5"/>
    <n v="0"/>
    <n v="46.1"/>
  </r>
  <r>
    <x v="2"/>
    <n v="2254.4"/>
    <n v="45.4"/>
    <n v="2.2999999999999998"/>
    <s v="2021 S.84"/>
    <n v="74.3"/>
    <n v="2.2000000000000002"/>
    <n v="3.8"/>
    <n v="2185.6"/>
    <n v="13.01"/>
    <n v="2200"/>
    <n v="38.4"/>
    <n v="0"/>
    <n v="40.1"/>
  </r>
  <r>
    <x v="3"/>
    <n v="2606.1"/>
    <n v="45.1"/>
    <n v="-0.66"/>
    <m/>
    <n v="75.599999999999994"/>
    <n v="2"/>
    <n v="3.3"/>
    <n v="2266.3000000000002"/>
    <n v="12.86"/>
    <n v="3749"/>
    <n v="33"/>
    <n v="0"/>
    <n v="51.3"/>
  </r>
  <r>
    <x v="4"/>
    <n v="2583.8000000000002"/>
    <n v="47.3"/>
    <n v="-7.34"/>
    <s v="2023 S.77"/>
    <n v="72.400000000000006"/>
    <n v="2"/>
    <n v="3.8"/>
    <n v="1527"/>
    <n v="12.41"/>
    <n v="2460"/>
    <n v="31.7"/>
    <n v="0"/>
    <n v="51.7"/>
  </r>
  <r>
    <x v="5"/>
    <n v="2641.8"/>
    <n v="47.7"/>
    <n v="-1.07"/>
    <s v="2024 S.138"/>
    <n v="75.2"/>
    <n v="2"/>
    <n v="4.0999999999999996"/>
    <n v="1601"/>
    <n v="13.82"/>
    <n v="3747"/>
    <n v="31.2"/>
    <n v="0.75"/>
    <n v="50.9"/>
  </r>
  <r>
    <x v="6"/>
    <n v="2800.8"/>
    <n v="45.4"/>
    <n v="4.49"/>
    <s v="2025 S.55"/>
    <n v="76.5"/>
    <n v="2.1"/>
    <n v="4.0999999999999996"/>
    <n v="1972.7"/>
    <n v="14.46"/>
    <n v="2090"/>
    <n v="30.7"/>
    <n v="0.77"/>
    <n v="4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6A04BC-1941-E145-9AD4-63F7AB7D8137}" name="PivotTable7"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6:B114" firstHeaderRow="1" firstDataRow="1" firstDataCol="1"/>
  <pivotFields count="14">
    <pivotField axis="axisRow" showAll="0">
      <items count="10">
        <item x="0"/>
        <item x="1"/>
        <item x="2"/>
        <item x="3"/>
        <item x="4"/>
        <item x="5"/>
        <item x="6"/>
        <item m="1" x="7"/>
        <item m="1" x="8"/>
        <item t="default"/>
      </items>
    </pivotField>
    <pivotField showAll="0"/>
    <pivotField showAll="0"/>
    <pivotField showAll="0"/>
    <pivotField showAll="0"/>
    <pivotField showAll="0"/>
    <pivotField showAll="0"/>
    <pivotField dataField="1" showAll="0"/>
    <pivotField numFmtId="165"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Sum of Mietsteigerung organisch in %" fld="7" baseField="0" baseItem="0"/>
  </dataFields>
  <chartFormats count="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C10335-3997-204F-94E0-80817EED75F1}" name="PivotTable14"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08:B216" firstHeaderRow="1" firstDataRow="1" firstDataCol="1"/>
  <pivotFields count="14">
    <pivotField axis="axisRow" showAll="0">
      <items count="10">
        <item x="0"/>
        <item x="1"/>
        <item x="2"/>
        <item x="3"/>
        <item x="4"/>
        <item x="5"/>
        <item x="6"/>
        <item m="1" x="7"/>
        <item m="1" x="8"/>
        <item t="default"/>
      </items>
    </pivotField>
    <pivotField showAll="0"/>
    <pivotField showAll="0"/>
    <pivotField showAll="0"/>
    <pivotField showAll="0"/>
    <pivotField showAll="0"/>
    <pivotField showAll="0"/>
    <pivotField showAll="0"/>
    <pivotField numFmtId="165" showAll="0"/>
    <pivotField showAll="0"/>
    <pivotField showAll="0"/>
    <pivotField showAll="0"/>
    <pivotField showAll="0"/>
    <pivotField dataField="1" showAll="0"/>
  </pivotFields>
  <rowFields count="1">
    <field x="0"/>
  </rowFields>
  <rowItems count="8">
    <i>
      <x/>
    </i>
    <i>
      <x v="1"/>
    </i>
    <i>
      <x v="2"/>
    </i>
    <i>
      <x v="3"/>
    </i>
    <i>
      <x v="4"/>
    </i>
    <i>
      <x v="5"/>
    </i>
    <i>
      <x v="6"/>
    </i>
    <i t="grand">
      <x/>
    </i>
  </rowItems>
  <colItems count="1">
    <i/>
  </colItems>
  <dataFields count="1">
    <dataField name="Sum of Bewirtschaftete Einheiten pro Mitarbeiter" fld="1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3490BC-49C9-B94C-9093-21E1043251A3}" name="PivotTable13"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92:B199" firstHeaderRow="1" firstDataRow="1" firstDataCol="1"/>
  <pivotFields count="14">
    <pivotField axis="axisRow" showAll="0">
      <items count="8">
        <item x="0"/>
        <item x="1"/>
        <item h="1" x="2"/>
        <item x="3"/>
        <item x="4"/>
        <item x="5"/>
        <item x="6"/>
        <item t="default"/>
      </items>
    </pivotField>
    <pivotField showAll="0"/>
    <pivotField showAll="0"/>
    <pivotField showAll="0"/>
    <pivotField showAll="0"/>
    <pivotField showAll="0"/>
    <pivotField showAll="0"/>
    <pivotField showAll="0"/>
    <pivotField numFmtId="165" showAll="0"/>
    <pivotField showAll="0"/>
    <pivotField showAll="0"/>
    <pivotField showAll="0"/>
    <pivotField showAll="0"/>
    <pivotField dataField="1" showAll="0"/>
  </pivotFields>
  <rowFields count="1">
    <field x="0"/>
  </rowFields>
  <rowItems count="7">
    <i>
      <x/>
    </i>
    <i>
      <x v="1"/>
    </i>
    <i>
      <x v="3"/>
    </i>
    <i>
      <x v="4"/>
    </i>
    <i>
      <x v="5"/>
    </i>
    <i>
      <x v="6"/>
    </i>
    <i t="grand">
      <x/>
    </i>
  </rowItems>
  <colItems count="1">
    <i/>
  </colItems>
  <dataFields count="1">
    <dataField name="Count of Bewirtschaftete Einheiten pro Mitarbeiter" fld="13" subtotal="count" baseField="0" baseItem="0"/>
  </dataFields>
  <formats count="2">
    <format dxfId="0">
      <pivotArea collapsedLevelsAreSubtotals="1" fieldPosition="0">
        <references count="1">
          <reference field="0" count="1">
            <x v="0"/>
          </reference>
        </references>
      </pivotArea>
    </format>
    <format dxfId="1">
      <pivotArea collapsedLevelsAreSubtotals="1" fieldPosition="0">
        <references count="1">
          <reference field="0"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D7ADE2-C5AE-E84B-A075-E5FD8410E97E}" name="PivotTable12"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79:B187" firstHeaderRow="1" firstDataRow="1" firstDataCol="1"/>
  <pivotFields count="14">
    <pivotField axis="axisRow" showAll="0">
      <items count="10">
        <item x="0"/>
        <item x="1"/>
        <item x="2"/>
        <item x="3"/>
        <item x="4"/>
        <item x="5"/>
        <item x="6"/>
        <item m="1" x="7"/>
        <item m="1" x="8"/>
        <item t="default"/>
      </items>
    </pivotField>
    <pivotField showAll="0"/>
    <pivotField showAll="0"/>
    <pivotField showAll="0"/>
    <pivotField showAll="0"/>
    <pivotField showAll="0"/>
    <pivotField showAll="0"/>
    <pivotField showAll="0"/>
    <pivotField numFmtId="165" showAll="0"/>
    <pivotField showAll="0"/>
    <pivotField showAll="0"/>
    <pivotField showAll="0"/>
    <pivotField dataField="1" showAll="0"/>
    <pivotField showAll="0"/>
  </pivotFields>
  <rowFields count="1">
    <field x="0"/>
  </rowFields>
  <rowItems count="8">
    <i>
      <x/>
    </i>
    <i>
      <x v="1"/>
    </i>
    <i>
      <x v="2"/>
    </i>
    <i>
      <x v="3"/>
    </i>
    <i>
      <x v="4"/>
    </i>
    <i>
      <x v="5"/>
    </i>
    <i>
      <x v="6"/>
    </i>
    <i t="grand">
      <x/>
    </i>
  </rowItems>
  <colItems count="1">
    <i/>
  </colItems>
  <dataFields count="1">
    <dataField name="Min. of Mitarbeiterzufriedenheit" fld="12" subtotal="min" baseField="0" baseItem="0"/>
  </dataFields>
  <chartFormats count="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C26D69-C1AA-3C46-BDCF-5EACA398527D}" name="PivotTable11"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7:B175" firstHeaderRow="1" firstDataRow="1" firstDataCol="1"/>
  <pivotFields count="14">
    <pivotField axis="axisRow" showAll="0">
      <items count="10">
        <item x="0"/>
        <item x="1"/>
        <item x="2"/>
        <item x="3"/>
        <item x="4"/>
        <item x="5"/>
        <item x="6"/>
        <item m="1" x="7"/>
        <item m="1" x="8"/>
        <item t="default"/>
      </items>
    </pivotField>
    <pivotField showAll="0"/>
    <pivotField showAll="0"/>
    <pivotField showAll="0"/>
    <pivotField showAll="0"/>
    <pivotField showAll="0"/>
    <pivotField showAll="0"/>
    <pivotField showAll="0"/>
    <pivotField numFmtId="165" showAll="0"/>
    <pivotField showAll="0"/>
    <pivotField showAll="0"/>
    <pivotField dataField="1" showAll="0"/>
    <pivotField showAll="0"/>
    <pivotField showAll="0"/>
  </pivotFields>
  <rowFields count="1">
    <field x="0"/>
  </rowFields>
  <rowItems count="8">
    <i>
      <x/>
    </i>
    <i>
      <x v="1"/>
    </i>
    <i>
      <x v="2"/>
    </i>
    <i>
      <x v="3"/>
    </i>
    <i>
      <x v="4"/>
    </i>
    <i>
      <x v="5"/>
    </i>
    <i>
      <x v="6"/>
    </i>
    <i t="grand">
      <x/>
    </i>
  </rowItems>
  <colItems count="1">
    <i/>
  </colItems>
  <dataFields count="1">
    <dataField name="Sum of CO₂-Intensität in kg CO₂e/m²" fld="11" baseField="0" baseItem="0"/>
  </dataFields>
  <chartFormats count="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DE73AF-06A4-7E49-B144-24717622BB4D}" name="PivotTable6"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91:B99" firstHeaderRow="1" firstDataRow="1" firstDataCol="1"/>
  <pivotFields count="14">
    <pivotField axis="axisRow" showAll="0">
      <items count="10">
        <item x="0"/>
        <item x="1"/>
        <item x="2"/>
        <item x="3"/>
        <item x="4"/>
        <item x="5"/>
        <item x="6"/>
        <item m="1" x="7"/>
        <item m="1" x="8"/>
        <item t="default"/>
      </items>
    </pivotField>
    <pivotField showAll="0"/>
    <pivotField showAll="0"/>
    <pivotField showAll="0"/>
    <pivotField showAll="0"/>
    <pivotField showAll="0"/>
    <pivotField dataField="1" showAll="0"/>
    <pivotField showAll="0"/>
    <pivotField numFmtId="165"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Sum of Leerstandsquote in %" fld="6" baseField="0" baseItem="0"/>
  </dataFields>
  <chartFormats count="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B156BD-6025-1947-8D45-C0E84232AD70}" name="PivotTable10"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49:B157" firstHeaderRow="1" firstDataRow="1" firstDataCol="1"/>
  <pivotFields count="14">
    <pivotField axis="axisRow" showAll="0">
      <items count="10">
        <item x="0"/>
        <item x="1"/>
        <item x="2"/>
        <item x="3"/>
        <item x="4"/>
        <item x="5"/>
        <item x="6"/>
        <item m="1" x="7"/>
        <item m="1" x="8"/>
        <item t="default"/>
      </items>
    </pivotField>
    <pivotField showAll="0"/>
    <pivotField showAll="0"/>
    <pivotField showAll="0"/>
    <pivotField showAll="0"/>
    <pivotField showAll="0"/>
    <pivotField showAll="0"/>
    <pivotField showAll="0"/>
    <pivotField numFmtId="165" showAll="0"/>
    <pivotField showAll="0"/>
    <pivotField dataField="1" showAll="0"/>
    <pivotField showAll="0"/>
    <pivotField showAll="0"/>
    <pivotField showAll="0"/>
  </pivotFields>
  <rowFields count="1">
    <field x="0"/>
  </rowFields>
  <rowItems count="8">
    <i>
      <x/>
    </i>
    <i>
      <x v="1"/>
    </i>
    <i>
      <x v="2"/>
    </i>
    <i>
      <x v="3"/>
    </i>
    <i>
      <x v="4"/>
    </i>
    <i>
      <x v="5"/>
    </i>
    <i>
      <x v="6"/>
    </i>
    <i t="grand">
      <x/>
    </i>
  </rowItems>
  <colItems count="1">
    <i/>
  </colItems>
  <dataFields count="1">
    <dataField name="Sum of Anzahl neu gebauter Einheiten" fld="10" baseField="0" baseItem="0"/>
  </dataFields>
  <chartFormats count="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2C156D-3F2A-0343-946F-4E6CC6909EF4}" name="PivotTable5"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8:B76" firstHeaderRow="1" firstDataRow="1" firstDataCol="1"/>
  <pivotFields count="14">
    <pivotField axis="axisRow" showAll="0">
      <items count="10">
        <item x="0"/>
        <item x="1"/>
        <item x="2"/>
        <item x="3"/>
        <item x="4"/>
        <item x="5"/>
        <item x="6"/>
        <item m="1" x="7"/>
        <item m="1" x="8"/>
        <item t="default"/>
      </items>
    </pivotField>
    <pivotField showAll="0"/>
    <pivotField showAll="0"/>
    <pivotField showAll="0"/>
    <pivotField showAll="0"/>
    <pivotField dataField="1" showAll="0"/>
    <pivotField showAll="0"/>
    <pivotField showAll="0"/>
    <pivotField numFmtId="165"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Sum of Kundenzufriedenheit (CSI) in %" fld="5" baseField="0" baseItem="0"/>
  </dataFields>
  <chartFormats count="9">
    <chartFormat chart="0" format="7" series="1">
      <pivotArea type="data" outline="0" fieldPosition="0">
        <references count="2">
          <reference field="4294967294" count="1" selected="0">
            <x v="0"/>
          </reference>
          <reference field="0" count="1" selected="0">
            <x v="0"/>
          </reference>
        </references>
      </pivotArea>
    </chartFormat>
    <chartFormat chart="0" format="8" series="1">
      <pivotArea type="data" outline="0" fieldPosition="0">
        <references count="2">
          <reference field="4294967294" count="1" selected="0">
            <x v="0"/>
          </reference>
          <reference field="0" count="1" selected="0">
            <x v="1"/>
          </reference>
        </references>
      </pivotArea>
    </chartFormat>
    <chartFormat chart="0" format="9" series="1">
      <pivotArea type="data" outline="0" fieldPosition="0">
        <references count="2">
          <reference field="4294967294" count="1" selected="0">
            <x v="0"/>
          </reference>
          <reference field="0" count="1" selected="0">
            <x v="2"/>
          </reference>
        </references>
      </pivotArea>
    </chartFormat>
    <chartFormat chart="0" format="10" series="1">
      <pivotArea type="data" outline="0" fieldPosition="0">
        <references count="2">
          <reference field="4294967294" count="1" selected="0">
            <x v="0"/>
          </reference>
          <reference field="0" count="1" selected="0">
            <x v="3"/>
          </reference>
        </references>
      </pivotArea>
    </chartFormat>
    <chartFormat chart="0" format="11" series="1">
      <pivotArea type="data" outline="0" fieldPosition="0">
        <references count="2">
          <reference field="4294967294" count="1" selected="0">
            <x v="0"/>
          </reference>
          <reference field="0" count="1" selected="0">
            <x v="4"/>
          </reference>
        </references>
      </pivotArea>
    </chartFormat>
    <chartFormat chart="0" format="12" series="1">
      <pivotArea type="data" outline="0" fieldPosition="0">
        <references count="2">
          <reference field="4294967294" count="1" selected="0">
            <x v="0"/>
          </reference>
          <reference field="0" count="1" selected="0">
            <x v="5"/>
          </reference>
        </references>
      </pivotArea>
    </chartFormat>
    <chartFormat chart="0" format="13" series="1">
      <pivotArea type="data" outline="0" fieldPosition="0">
        <references count="2">
          <reference field="4294967294" count="1" selected="0">
            <x v="0"/>
          </reference>
          <reference field="0" count="1" selected="0">
            <x v="6"/>
          </reference>
        </references>
      </pivotArea>
    </chartFormat>
    <chartFormat chart="0" format="14"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3A72949-D391-9944-B7B5-88F38296042D}" name="PivotTable4"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1:B59" firstHeaderRow="1" firstDataRow="1" firstDataCol="1"/>
  <pivotFields count="14">
    <pivotField axis="axisRow" showAll="0">
      <items count="10">
        <item x="0"/>
        <item x="1"/>
        <item x="2"/>
        <item x="3"/>
        <item x="4"/>
        <item x="5"/>
        <item x="6"/>
        <item m="1" x="7"/>
        <item m="1" x="8"/>
        <item t="default"/>
      </items>
    </pivotField>
    <pivotField showAll="0"/>
    <pivotField showAll="0"/>
    <pivotField dataField="1" showAll="0"/>
    <pivotField showAll="0"/>
    <pivotField showAll="0"/>
    <pivotField showAll="0"/>
    <pivotField showAll="0"/>
    <pivotField numFmtId="165"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Sum of ROI in %" fld="3" baseField="0" baseItem="0"/>
  </dataFields>
  <chartFormats count="17">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1" format="4" series="1">
      <pivotArea type="data" outline="0" fieldPosition="0">
        <references count="2">
          <reference field="4294967294" count="1" selected="0">
            <x v="0"/>
          </reference>
          <reference field="0" count="1" selected="0">
            <x v="4"/>
          </reference>
        </references>
      </pivotArea>
    </chartFormat>
    <chartFormat chart="1" format="5" series="1">
      <pivotArea type="data" outline="0" fieldPosition="0">
        <references count="2">
          <reference field="4294967294" count="1" selected="0">
            <x v="0"/>
          </reference>
          <reference field="0" count="1" selected="0">
            <x v="5"/>
          </reference>
        </references>
      </pivotArea>
    </chartFormat>
    <chartFormat chart="1" format="6" series="1">
      <pivotArea type="data" outline="0" fieldPosition="0">
        <references count="2">
          <reference field="4294967294" count="1" selected="0">
            <x v="0"/>
          </reference>
          <reference field="0" count="1" selected="0">
            <x v="6"/>
          </reference>
        </references>
      </pivotArea>
    </chartFormat>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1" format="7"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1407B9-D7EA-DD46-80D0-19DD7012609E}" name="PivotTable9"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34:B142" firstHeaderRow="1" firstDataRow="1" firstDataCol="1"/>
  <pivotFields count="14">
    <pivotField axis="axisRow" showAll="0">
      <items count="10">
        <item x="0"/>
        <item x="1"/>
        <item x="2"/>
        <item x="3"/>
        <item x="4"/>
        <item x="5"/>
        <item x="6"/>
        <item m="1" x="7"/>
        <item m="1" x="8"/>
        <item t="default"/>
      </items>
    </pivotField>
    <pivotField showAll="0"/>
    <pivotField showAll="0"/>
    <pivotField showAll="0"/>
    <pivotField showAll="0"/>
    <pivotField showAll="0"/>
    <pivotField showAll="0"/>
    <pivotField showAll="0"/>
    <pivotField numFmtId="165" showAll="0"/>
    <pivotField dataField="1"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Sum of Instandhaltungsaufwand (€/m²)" fld="9" baseField="0" baseItem="0"/>
  </dataFields>
  <chartFormats count="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98BD313-1C04-0640-A33A-EBA664F923A2}" name="PivotTable3"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1:B39" firstHeaderRow="1" firstDataRow="1" firstDataCol="1"/>
  <pivotFields count="14">
    <pivotField axis="axisRow" showAll="0">
      <items count="10">
        <item x="0"/>
        <item x="1"/>
        <item x="2"/>
        <item x="3"/>
        <item x="4"/>
        <item x="5"/>
        <item x="6"/>
        <item m="1" x="7"/>
        <item m="1" x="8"/>
        <item t="default"/>
      </items>
    </pivotField>
    <pivotField dataField="1" showAll="0"/>
    <pivotField showAll="0"/>
    <pivotField showAll="0"/>
    <pivotField showAll="0"/>
    <pivotField showAll="0"/>
    <pivotField showAll="0"/>
    <pivotField showAll="0"/>
    <pivotField numFmtId="165"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Sum of Adjusted EBITDA Total" fld="1" baseField="0" baseItem="0"/>
  </dataFields>
  <chartFormats count="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5A28588-315F-7E47-BABA-8D570AA73DD4}" name="PivotTable8"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16:B124" firstHeaderRow="1" firstDataRow="1" firstDataCol="1"/>
  <pivotFields count="14">
    <pivotField axis="axisRow" showAll="0">
      <items count="10">
        <item x="0"/>
        <item x="1"/>
        <item x="2"/>
        <item x="3"/>
        <item x="4"/>
        <item x="5"/>
        <item x="6"/>
        <item m="1" x="7"/>
        <item m="1" x="8"/>
        <item t="default"/>
      </items>
    </pivotField>
    <pivotField showAll="0"/>
    <pivotField showAll="0"/>
    <pivotField showAll="0"/>
    <pivotField showAll="0"/>
    <pivotField showAll="0"/>
    <pivotField showAll="0"/>
    <pivotField showAll="0"/>
    <pivotField dataField="1" numFmtId="165"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Sum of Gesamtsumme Instandhaltung/Modernisierung" fld="8" baseField="0" baseItem="0" numFmtId="165"/>
  </dataFields>
  <chartFormats count="1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5"/>
          </reference>
        </references>
      </pivotArea>
    </chartFormat>
    <chartFormat chart="0" format="6" series="1">
      <pivotArea type="data" outline="0" fieldPosition="0">
        <references count="2">
          <reference field="4294967294" count="1" selected="0">
            <x v="0"/>
          </reference>
          <reference field="0" count="1" selected="0">
            <x v="6"/>
          </reference>
        </references>
      </pivotArea>
    </chartFormat>
    <chartFormat chart="1" format="7" series="1">
      <pivotArea type="data" outline="0" fieldPosition="0">
        <references count="2">
          <reference field="4294967294" count="1" selected="0">
            <x v="0"/>
          </reference>
          <reference field="0" count="1" selected="0">
            <x v="0"/>
          </reference>
        </references>
      </pivotArea>
    </chartFormat>
    <chartFormat chart="1" format="8" series="1">
      <pivotArea type="data" outline="0" fieldPosition="0">
        <references count="2">
          <reference field="4294967294" count="1" selected="0">
            <x v="0"/>
          </reference>
          <reference field="0" count="1" selected="0">
            <x v="1"/>
          </reference>
        </references>
      </pivotArea>
    </chartFormat>
    <chartFormat chart="1" format="9" series="1">
      <pivotArea type="data" outline="0" fieldPosition="0">
        <references count="2">
          <reference field="4294967294" count="1" selected="0">
            <x v="0"/>
          </reference>
          <reference field="0" count="1" selected="0">
            <x v="2"/>
          </reference>
        </references>
      </pivotArea>
    </chartFormat>
    <chartFormat chart="1" format="10" series="1">
      <pivotArea type="data" outline="0" fieldPosition="0">
        <references count="2">
          <reference field="4294967294" count="1" selected="0">
            <x v="0"/>
          </reference>
          <reference field="0" count="1" selected="0">
            <x v="3"/>
          </reference>
        </references>
      </pivotArea>
    </chartFormat>
    <chartFormat chart="1" format="11" series="1">
      <pivotArea type="data" outline="0" fieldPosition="0">
        <references count="2">
          <reference field="4294967294" count="1" selected="0">
            <x v="0"/>
          </reference>
          <reference field="0" count="1" selected="0">
            <x v="4"/>
          </reference>
        </references>
      </pivotArea>
    </chartFormat>
    <chartFormat chart="1" format="12" series="1">
      <pivotArea type="data" outline="0" fieldPosition="0">
        <references count="2">
          <reference field="4294967294" count="1" selected="0">
            <x v="0"/>
          </reference>
          <reference field="0" count="1" selected="0">
            <x v="5"/>
          </reference>
        </references>
      </pivotArea>
    </chartFormat>
    <chartFormat chart="1" format="13" series="1">
      <pivotArea type="data" outline="0" fieldPosition="0">
        <references count="2">
          <reference field="4294967294" count="1" selected="0">
            <x v="0"/>
          </reference>
          <reference field="0" count="1" selected="0">
            <x v="6"/>
          </reference>
        </references>
      </pivotArea>
    </chartFormat>
    <chartFormat chart="0" format="7"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101ABE-8B47-D84D-AB57-67B5E5546AA6}" name="PivotTable2" cacheId="1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1" firstHeaderRow="1" firstDataRow="1" firstDataCol="1"/>
  <pivotFields count="14">
    <pivotField axis="axisRow" showAll="0">
      <items count="10">
        <item x="0"/>
        <item x="1"/>
        <item x="2"/>
        <item x="3"/>
        <item x="4"/>
        <item x="5"/>
        <item x="6"/>
        <item m="1" x="7"/>
        <item m="1" x="8"/>
        <item t="default"/>
      </items>
    </pivotField>
    <pivotField showAll="0"/>
    <pivotField dataField="1" showAll="0"/>
    <pivotField showAll="0"/>
    <pivotField showAll="0"/>
    <pivotField showAll="0"/>
    <pivotField showAll="0"/>
    <pivotField showAll="0"/>
    <pivotField numFmtId="165" showAll="0"/>
    <pivotField showAll="0"/>
    <pivotField showAll="0"/>
    <pivotField showAll="0"/>
    <pivotField showAll="0"/>
    <pivotField showAll="0"/>
  </pivotFields>
  <rowFields count="1">
    <field x="0"/>
  </rowFields>
  <rowItems count="8">
    <i>
      <x/>
    </i>
    <i>
      <x v="1"/>
    </i>
    <i>
      <x v="2"/>
    </i>
    <i>
      <x v="3"/>
    </i>
    <i>
      <x v="4"/>
    </i>
    <i>
      <x v="5"/>
    </i>
    <i>
      <x v="6"/>
    </i>
    <i t="grand">
      <x/>
    </i>
  </rowItems>
  <colItems count="1">
    <i/>
  </colItems>
  <dataFields count="1">
    <dataField name="Sum of LTV in %" fld="2" baseField="0" baseItem="0"/>
  </dataFields>
  <chartFormats count="9">
    <chartFormat chart="0" format="42" series="1">
      <pivotArea type="data" outline="0" fieldPosition="0">
        <references count="2">
          <reference field="4294967294" count="1" selected="0">
            <x v="0"/>
          </reference>
          <reference field="0" count="1" selected="0">
            <x v="0"/>
          </reference>
        </references>
      </pivotArea>
    </chartFormat>
    <chartFormat chart="0" format="43" series="1">
      <pivotArea type="data" outline="0" fieldPosition="0">
        <references count="2">
          <reference field="4294967294" count="1" selected="0">
            <x v="0"/>
          </reference>
          <reference field="0" count="1" selected="0">
            <x v="1"/>
          </reference>
        </references>
      </pivotArea>
    </chartFormat>
    <chartFormat chart="0" format="44" series="1">
      <pivotArea type="data" outline="0" fieldPosition="0">
        <references count="2">
          <reference field="4294967294" count="1" selected="0">
            <x v="0"/>
          </reference>
          <reference field="0" count="1" selected="0">
            <x v="2"/>
          </reference>
        </references>
      </pivotArea>
    </chartFormat>
    <chartFormat chart="0" format="45" series="1">
      <pivotArea type="data" outline="0" fieldPosition="0">
        <references count="2">
          <reference field="4294967294" count="1" selected="0">
            <x v="0"/>
          </reference>
          <reference field="0" count="1" selected="0">
            <x v="3"/>
          </reference>
        </references>
      </pivotArea>
    </chartFormat>
    <chartFormat chart="0" format="46" series="1">
      <pivotArea type="data" outline="0" fieldPosition="0">
        <references count="2">
          <reference field="4294967294" count="1" selected="0">
            <x v="0"/>
          </reference>
          <reference field="0" count="1" selected="0">
            <x v="4"/>
          </reference>
        </references>
      </pivotArea>
    </chartFormat>
    <chartFormat chart="0" format="47" series="1">
      <pivotArea type="data" outline="0" fieldPosition="0">
        <references count="2">
          <reference field="4294967294" count="1" selected="0">
            <x v="0"/>
          </reference>
          <reference field="0" count="1" selected="0">
            <x v="5"/>
          </reference>
        </references>
      </pivotArea>
    </chartFormat>
    <chartFormat chart="0" format="48" series="1">
      <pivotArea type="data" outline="0" fieldPosition="0">
        <references count="2">
          <reference field="4294967294" count="1" selected="0">
            <x v="0"/>
          </reference>
          <reference field="0" count="1" selected="0">
            <x v="6"/>
          </reference>
        </references>
      </pivotArea>
    </chartFormat>
    <chartFormat chart="0" format="49" series="1">
      <pivotArea type="data" outline="0" fieldPosition="0">
        <references count="1">
          <reference field="4294967294" count="1" selected="0">
            <x v="0"/>
          </reference>
        </references>
      </pivotArea>
    </chartFormat>
    <chartFormat chart="13" format="5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ahr" xr10:uid="{95131C59-8B7A-634D-BBEA-20B9F92D646B}" sourceName="Jahr">
  <pivotTables>
    <pivotTable tabId="2" name="PivotTable10"/>
    <pivotTable tabId="2" name="PivotTable11"/>
    <pivotTable tabId="2" name="PivotTable12"/>
    <pivotTable tabId="2" name="PivotTable14"/>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1673180031">
      <items count="9">
        <i x="0" s="1"/>
        <i x="1" s="1"/>
        <i x="2" s="1"/>
        <i x="3" s="1"/>
        <i x="4" s="1"/>
        <i x="5" s="1"/>
        <i x="6" s="1"/>
        <i x="7" s="1" nd="1"/>
        <i x="8"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ahre" xr10:uid="{F33AB8FA-6358-0544-8591-E2C5B4A925C2}" cache="Slicer_Jahr" caption="Jahr" style="Dashboard"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ahr" xr10:uid="{A8AFABC5-0B4F-304E-AD77-C03BA4076DE8}" cache="Slicer_Jahr" caption="Jah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0BE37A-3E36-E545-880B-C0F551CEBB9D}" name="Table1" displayName="Table1" ref="A1:N8" totalsRowShown="0">
  <autoFilter ref="A1:N8" xr:uid="{8B0BE37A-3E36-E545-880B-C0F551CEBB9D}"/>
  <tableColumns count="14">
    <tableColumn id="1" xr3:uid="{32F910D0-9B9F-FA47-8F82-C48384FE74A0}" name="Jahr"/>
    <tableColumn id="2" xr3:uid="{95F9269C-DB9D-834D-8D1E-00722A0D9D9F}" name="Adjusted EBITDA Total"/>
    <tableColumn id="3" xr3:uid="{0E0C0A2D-6815-2D4A-881E-639E2F815F6F}" name="LTV in %"/>
    <tableColumn id="4" xr3:uid="{D56CFFDD-4D82-9744-B4A6-C81E8C41480F}" name="ROI in %"/>
    <tableColumn id="5" xr3:uid="{295ADF95-A551-2142-B617-756671D26C80}" name="Quellen Kundenzufriedenheit"/>
    <tableColumn id="6" xr3:uid="{0664C52D-2560-B041-AC8B-DB8A6D0FA61C}" name="Kundenzufriedenheit (CSI) in %"/>
    <tableColumn id="7" xr3:uid="{805F5C45-B6C1-164C-A47F-0C2F456D2451}" name="Leerstandsquote in %"/>
    <tableColumn id="8" xr3:uid="{632C0AA5-98D6-2247-AFC3-908E345F6ECC}" name="Mietsteigerung organisch in %"/>
    <tableColumn id="9" xr3:uid="{5B26CC56-9C2A-CD42-BC7F-9A4101395461}" name="Gesamtsumme Instandhaltung/Modernisierung" dataDxfId="3"/>
    <tableColumn id="10" xr3:uid="{8F0E2C95-6963-6349-8EA6-64702ED9A5B9}" name="Instandhaltungsaufwand (€/m²)"/>
    <tableColumn id="11" xr3:uid="{51BE30B4-8E11-AB4E-893F-19568DEC1F7B}" name="Anzahl neu gebauter Einheiten"/>
    <tableColumn id="12" xr3:uid="{2EC3FDD8-4F36-834D-A011-A776F6314EAF}" name="CO₂-Intensität in kg CO₂e/m²"/>
    <tableColumn id="13" xr3:uid="{EB245DE4-A3F2-CF4C-BD13-2177FE1C4006}" name="Mitarbeiterzufriedenheit"/>
    <tableColumn id="14" xr3:uid="{4CFC06F0-9445-2541-B310-01F9C4940F7F}" name="Bewirtschaftete Einheiten pro Mitarbeiter"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51C22-640F-DF42-AC73-03CB6BE63A38}">
  <dimension ref="AK48"/>
  <sheetViews>
    <sheetView topLeftCell="H18" zoomScale="150" zoomScaleNormal="50" workbookViewId="0">
      <selection activeCell="AK48" sqref="AK48"/>
    </sheetView>
  </sheetViews>
  <sheetFormatPr baseColWidth="10" defaultRowHeight="16" x14ac:dyDescent="0.2"/>
  <cols>
    <col min="1" max="16384" width="10.83203125" style="7"/>
  </cols>
  <sheetData>
    <row r="48" spans="37:37" x14ac:dyDescent="0.2">
      <c r="AK48" s="7" t="s">
        <v>33</v>
      </c>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8F53A-E010-0D46-A5BE-0A978705D26D}">
  <dimension ref="A1:N35"/>
  <sheetViews>
    <sheetView tabSelected="1" topLeftCell="I4" zoomScale="125" workbookViewId="0">
      <selection activeCell="M22" sqref="M22"/>
    </sheetView>
  </sheetViews>
  <sheetFormatPr baseColWidth="10" defaultRowHeight="16" x14ac:dyDescent="0.2"/>
  <cols>
    <col min="1" max="1" width="45.83203125" customWidth="1"/>
    <col min="2" max="2" width="58.5" customWidth="1"/>
    <col min="3" max="3" width="33.83203125" customWidth="1"/>
    <col min="5" max="5" width="26.33203125" customWidth="1"/>
    <col min="6" max="6" width="27.83203125" customWidth="1"/>
    <col min="7" max="7" width="20" customWidth="1"/>
    <col min="8" max="8" width="26.6640625" customWidth="1"/>
    <col min="9" max="9" width="41.1640625" style="6" customWidth="1"/>
    <col min="10" max="10" width="28.1640625" customWidth="1"/>
    <col min="11" max="11" width="27" customWidth="1"/>
    <col min="12" max="12" width="25.83203125" customWidth="1"/>
    <col min="13" max="13" width="22.6640625" customWidth="1"/>
    <col min="14" max="14" width="36.33203125" style="6" customWidth="1"/>
  </cols>
  <sheetData>
    <row r="1" spans="1:14" x14ac:dyDescent="0.2">
      <c r="A1" t="s">
        <v>0</v>
      </c>
      <c r="B1" t="s">
        <v>14</v>
      </c>
      <c r="C1" t="s">
        <v>1</v>
      </c>
      <c r="D1" t="s">
        <v>2</v>
      </c>
      <c r="E1" t="s">
        <v>3</v>
      </c>
      <c r="F1" t="s">
        <v>8</v>
      </c>
      <c r="G1" t="s">
        <v>9</v>
      </c>
      <c r="H1" t="s">
        <v>10</v>
      </c>
      <c r="I1" s="6" t="s">
        <v>23</v>
      </c>
      <c r="J1" t="s">
        <v>15</v>
      </c>
      <c r="K1" t="s">
        <v>11</v>
      </c>
      <c r="L1" t="s">
        <v>24</v>
      </c>
      <c r="M1" t="s">
        <v>12</v>
      </c>
      <c r="N1" s="6" t="s">
        <v>13</v>
      </c>
    </row>
    <row r="2" spans="1:14" x14ac:dyDescent="0.2">
      <c r="A2">
        <v>2019</v>
      </c>
      <c r="B2">
        <v>1760.1</v>
      </c>
      <c r="C2">
        <v>43.1</v>
      </c>
      <c r="D2">
        <v>2.29</v>
      </c>
      <c r="F2">
        <v>61.2</v>
      </c>
      <c r="G2">
        <v>2.6</v>
      </c>
      <c r="H2">
        <v>3.9</v>
      </c>
      <c r="I2" s="6">
        <v>1971.1</v>
      </c>
      <c r="J2">
        <v>19.02</v>
      </c>
      <c r="K2">
        <v>2092</v>
      </c>
      <c r="L2">
        <v>47.2</v>
      </c>
      <c r="M2">
        <v>0</v>
      </c>
      <c r="N2" s="6">
        <v>47.8</v>
      </c>
    </row>
    <row r="3" spans="1:14" x14ac:dyDescent="0.2">
      <c r="A3">
        <v>2020</v>
      </c>
      <c r="B3">
        <v>1909.8</v>
      </c>
      <c r="C3">
        <v>39.4</v>
      </c>
      <c r="D3">
        <v>5.35</v>
      </c>
      <c r="F3">
        <v>69.8</v>
      </c>
      <c r="G3">
        <v>2.4</v>
      </c>
      <c r="H3">
        <v>3.1</v>
      </c>
      <c r="I3" s="6">
        <v>1935.9</v>
      </c>
      <c r="J3">
        <v>22.31</v>
      </c>
      <c r="K3">
        <v>2088</v>
      </c>
      <c r="L3">
        <v>39.5</v>
      </c>
      <c r="M3">
        <v>0</v>
      </c>
      <c r="N3" s="6">
        <v>46.1</v>
      </c>
    </row>
    <row r="4" spans="1:14" x14ac:dyDescent="0.2">
      <c r="A4">
        <v>2021</v>
      </c>
      <c r="B4">
        <v>2254.4</v>
      </c>
      <c r="C4">
        <v>45.4</v>
      </c>
      <c r="D4">
        <v>2.2999999999999998</v>
      </c>
      <c r="E4" t="s">
        <v>4</v>
      </c>
      <c r="F4">
        <v>74.3</v>
      </c>
      <c r="G4">
        <v>2.2000000000000002</v>
      </c>
      <c r="H4">
        <v>3.8</v>
      </c>
      <c r="I4" s="6">
        <v>2185.6</v>
      </c>
      <c r="J4">
        <v>26.17</v>
      </c>
      <c r="K4">
        <v>2200</v>
      </c>
      <c r="L4">
        <v>38.4</v>
      </c>
      <c r="M4">
        <v>0</v>
      </c>
      <c r="N4" s="6">
        <v>40.1</v>
      </c>
    </row>
    <row r="5" spans="1:14" x14ac:dyDescent="0.2">
      <c r="A5">
        <v>2022</v>
      </c>
      <c r="B5">
        <v>2606.1</v>
      </c>
      <c r="C5">
        <v>45.1</v>
      </c>
      <c r="D5">
        <v>-0.66</v>
      </c>
      <c r="F5">
        <v>75.599999999999994</v>
      </c>
      <c r="G5">
        <v>2</v>
      </c>
      <c r="H5">
        <v>3.3</v>
      </c>
      <c r="I5" s="6">
        <v>2266.3000000000002</v>
      </c>
      <c r="J5">
        <v>24.81</v>
      </c>
      <c r="K5">
        <v>3749</v>
      </c>
      <c r="L5">
        <v>33</v>
      </c>
      <c r="M5">
        <v>0</v>
      </c>
      <c r="N5" s="6">
        <v>51.3</v>
      </c>
    </row>
    <row r="6" spans="1:14" x14ac:dyDescent="0.2">
      <c r="A6">
        <v>2023</v>
      </c>
      <c r="B6">
        <v>2583.8000000000002</v>
      </c>
      <c r="C6">
        <v>47.3</v>
      </c>
      <c r="D6">
        <v>-7.34</v>
      </c>
      <c r="E6" t="s">
        <v>5</v>
      </c>
      <c r="F6">
        <v>72.400000000000006</v>
      </c>
      <c r="G6">
        <v>2</v>
      </c>
      <c r="H6">
        <v>3.8</v>
      </c>
      <c r="I6" s="6">
        <v>1527</v>
      </c>
      <c r="J6">
        <v>21.03</v>
      </c>
      <c r="K6">
        <v>2460</v>
      </c>
      <c r="L6">
        <v>31.7</v>
      </c>
      <c r="M6">
        <v>0</v>
      </c>
      <c r="N6" s="6">
        <v>51.7</v>
      </c>
    </row>
    <row r="7" spans="1:14" x14ac:dyDescent="0.2">
      <c r="A7">
        <v>2024</v>
      </c>
      <c r="B7">
        <v>2641.8</v>
      </c>
      <c r="C7">
        <v>47.7</v>
      </c>
      <c r="D7">
        <v>-1.07</v>
      </c>
      <c r="E7" t="s">
        <v>6</v>
      </c>
      <c r="F7">
        <v>75.2</v>
      </c>
      <c r="G7">
        <v>2</v>
      </c>
      <c r="H7">
        <v>4.0999999999999996</v>
      </c>
      <c r="I7" s="6">
        <v>1601</v>
      </c>
      <c r="J7">
        <v>22.46</v>
      </c>
      <c r="K7">
        <v>3747</v>
      </c>
      <c r="L7">
        <v>31.2</v>
      </c>
      <c r="M7">
        <v>0.75</v>
      </c>
      <c r="N7" s="6">
        <v>50.9</v>
      </c>
    </row>
    <row r="8" spans="1:14" ht="15" customHeight="1" x14ac:dyDescent="0.2">
      <c r="A8">
        <v>2025</v>
      </c>
      <c r="B8">
        <v>2800.8</v>
      </c>
      <c r="C8">
        <v>45.4</v>
      </c>
      <c r="D8">
        <v>4.49</v>
      </c>
      <c r="E8" t="s">
        <v>7</v>
      </c>
      <c r="F8">
        <v>76.5</v>
      </c>
      <c r="G8">
        <v>2.1</v>
      </c>
      <c r="H8">
        <v>4.0999999999999996</v>
      </c>
      <c r="I8" s="6">
        <v>1972.7</v>
      </c>
      <c r="J8">
        <v>24.23</v>
      </c>
      <c r="K8">
        <v>2090</v>
      </c>
      <c r="L8">
        <v>30.7</v>
      </c>
      <c r="M8">
        <v>0.77</v>
      </c>
      <c r="N8" s="6">
        <v>47.8</v>
      </c>
    </row>
    <row r="12" spans="1:14" x14ac:dyDescent="0.2">
      <c r="I12"/>
      <c r="N12"/>
    </row>
    <row r="13" spans="1:14" x14ac:dyDescent="0.2">
      <c r="I13"/>
      <c r="N13"/>
    </row>
    <row r="14" spans="1:14" x14ac:dyDescent="0.2">
      <c r="I14"/>
      <c r="N14"/>
    </row>
    <row r="15" spans="1:14" x14ac:dyDescent="0.2">
      <c r="I15"/>
      <c r="N15"/>
    </row>
    <row r="16" spans="1:14" x14ac:dyDescent="0.2">
      <c r="I16"/>
      <c r="N16"/>
    </row>
    <row r="17" spans="2:14" x14ac:dyDescent="0.2">
      <c r="I17"/>
      <c r="N17"/>
    </row>
    <row r="18" spans="2:14" x14ac:dyDescent="0.2">
      <c r="I18"/>
      <c r="N18"/>
    </row>
    <row r="19" spans="2:14" x14ac:dyDescent="0.2">
      <c r="I19"/>
      <c r="N19"/>
    </row>
    <row r="20" spans="2:14" x14ac:dyDescent="0.2">
      <c r="B20" s="1"/>
      <c r="I20"/>
      <c r="N20"/>
    </row>
    <row r="21" spans="2:14" x14ac:dyDescent="0.2">
      <c r="I21"/>
      <c r="N21"/>
    </row>
    <row r="22" spans="2:14" x14ac:dyDescent="0.2">
      <c r="I22"/>
      <c r="N22"/>
    </row>
    <row r="23" spans="2:14" x14ac:dyDescent="0.2">
      <c r="I23"/>
      <c r="N23"/>
    </row>
    <row r="24" spans="2:14" x14ac:dyDescent="0.2">
      <c r="I24"/>
      <c r="N24"/>
    </row>
    <row r="25" spans="2:14" x14ac:dyDescent="0.2">
      <c r="I25"/>
      <c r="N25"/>
    </row>
    <row r="26" spans="2:14" x14ac:dyDescent="0.2">
      <c r="I26"/>
      <c r="N26"/>
    </row>
    <row r="27" spans="2:14" x14ac:dyDescent="0.2">
      <c r="I27"/>
      <c r="N27"/>
    </row>
    <row r="28" spans="2:14" x14ac:dyDescent="0.2">
      <c r="I28"/>
      <c r="N28"/>
    </row>
    <row r="29" spans="2:14" x14ac:dyDescent="0.2">
      <c r="I29"/>
      <c r="N29"/>
    </row>
    <row r="30" spans="2:14" x14ac:dyDescent="0.2">
      <c r="I30"/>
      <c r="N30"/>
    </row>
    <row r="31" spans="2:14" x14ac:dyDescent="0.2">
      <c r="I31"/>
      <c r="N31"/>
    </row>
    <row r="32" spans="2:14" x14ac:dyDescent="0.2">
      <c r="I32"/>
      <c r="N32"/>
    </row>
    <row r="33" spans="2:14" x14ac:dyDescent="0.2">
      <c r="I33"/>
      <c r="N33"/>
    </row>
    <row r="34" spans="2:14" x14ac:dyDescent="0.2">
      <c r="I34"/>
      <c r="N34"/>
    </row>
    <row r="35" spans="2:14" x14ac:dyDescent="0.2">
      <c r="B35" s="2"/>
      <c r="C35" s="2"/>
      <c r="I35"/>
      <c r="N35"/>
    </row>
  </sheetData>
  <pageMargins left="0.7" right="0.7" top="0.75" bottom="0.75" header="0.3" footer="0.3"/>
  <pageSetup paperSize="9" orientation="portrait" horizontalDpi="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A9D5D-D368-E045-B17B-964952BB875E}">
  <dimension ref="A3:AC216"/>
  <sheetViews>
    <sheetView zoomScale="42" zoomScaleNormal="240" workbookViewId="0">
      <selection activeCell="AD72" sqref="AD72"/>
    </sheetView>
  </sheetViews>
  <sheetFormatPr baseColWidth="10" defaultRowHeight="16" x14ac:dyDescent="0.2"/>
  <cols>
    <col min="1" max="1" width="16.83203125" bestFit="1" customWidth="1"/>
    <col min="2" max="2" width="35.1640625" bestFit="1" customWidth="1"/>
    <col min="3" max="8" width="5.5" bestFit="1" customWidth="1"/>
    <col min="9" max="9" width="10.6640625" bestFit="1" customWidth="1"/>
    <col min="10" max="10" width="11.33203125" bestFit="1" customWidth="1"/>
    <col min="11" max="11" width="9.6640625" bestFit="1" customWidth="1"/>
    <col min="12" max="12" width="11.33203125" bestFit="1" customWidth="1"/>
    <col min="13" max="13" width="9.6640625" bestFit="1" customWidth="1"/>
    <col min="14" max="14" width="11.33203125" bestFit="1" customWidth="1"/>
    <col min="15" max="15" width="10.5" bestFit="1" customWidth="1"/>
    <col min="16" max="16" width="30" bestFit="1" customWidth="1"/>
    <col min="17" max="21" width="25.5" bestFit="1" customWidth="1"/>
    <col min="22" max="23" width="18.33203125" bestFit="1" customWidth="1"/>
    <col min="24" max="24" width="30" bestFit="1" customWidth="1"/>
  </cols>
  <sheetData>
    <row r="3" spans="1:29" x14ac:dyDescent="0.2">
      <c r="A3" s="3" t="s">
        <v>29</v>
      </c>
      <c r="B3" t="s">
        <v>18</v>
      </c>
    </row>
    <row r="4" spans="1:29" x14ac:dyDescent="0.2">
      <c r="A4" s="5">
        <v>2019</v>
      </c>
      <c r="B4" s="6">
        <v>43.1</v>
      </c>
    </row>
    <row r="5" spans="1:29" x14ac:dyDescent="0.2">
      <c r="A5" s="5">
        <v>2020</v>
      </c>
      <c r="B5" s="6">
        <v>39.4</v>
      </c>
    </row>
    <row r="6" spans="1:29" x14ac:dyDescent="0.2">
      <c r="A6" s="5">
        <v>2021</v>
      </c>
      <c r="B6" s="6">
        <v>45.4</v>
      </c>
    </row>
    <row r="7" spans="1:29" x14ac:dyDescent="0.2">
      <c r="A7" s="5">
        <v>2022</v>
      </c>
      <c r="B7" s="6">
        <v>45.1</v>
      </c>
    </row>
    <row r="8" spans="1:29" x14ac:dyDescent="0.2">
      <c r="A8" s="5">
        <v>2023</v>
      </c>
      <c r="B8" s="6">
        <v>47.3</v>
      </c>
    </row>
    <row r="9" spans="1:29" x14ac:dyDescent="0.2">
      <c r="A9" s="5">
        <v>2024</v>
      </c>
      <c r="B9" s="6">
        <v>47.7</v>
      </c>
      <c r="J9" s="7"/>
      <c r="K9" s="7"/>
      <c r="L9" s="7"/>
      <c r="M9" s="7"/>
      <c r="N9" s="7"/>
      <c r="O9" s="7"/>
      <c r="P9" s="7"/>
      <c r="Q9" s="7"/>
      <c r="R9" s="7"/>
      <c r="S9" s="7"/>
      <c r="T9" s="7"/>
      <c r="U9" s="7"/>
      <c r="V9" s="7"/>
      <c r="W9" s="7"/>
      <c r="X9" s="7"/>
      <c r="Y9" s="7"/>
      <c r="Z9" s="7"/>
      <c r="AA9" s="7"/>
      <c r="AB9" s="7"/>
      <c r="AC9" s="7"/>
    </row>
    <row r="10" spans="1:29" x14ac:dyDescent="0.2">
      <c r="A10" s="5">
        <v>2025</v>
      </c>
      <c r="B10" s="6">
        <v>45.4</v>
      </c>
      <c r="J10" s="7"/>
      <c r="K10" s="7"/>
      <c r="L10" s="7"/>
      <c r="M10" s="7"/>
      <c r="N10" s="7"/>
      <c r="O10" s="7"/>
      <c r="P10" s="7"/>
      <c r="Q10" s="7"/>
      <c r="R10" s="7"/>
      <c r="S10" s="7"/>
      <c r="T10" s="7"/>
      <c r="U10" s="7"/>
      <c r="V10" s="7"/>
      <c r="W10" s="7"/>
      <c r="X10" s="7"/>
      <c r="Y10" s="7"/>
      <c r="Z10" s="7"/>
      <c r="AA10" s="7"/>
      <c r="AB10" s="7"/>
      <c r="AC10" s="7"/>
    </row>
    <row r="11" spans="1:29" ht="93" x14ac:dyDescent="0.2">
      <c r="A11" s="5" t="s">
        <v>16</v>
      </c>
      <c r="B11" s="6">
        <v>313.39999999999998</v>
      </c>
      <c r="J11" s="7"/>
      <c r="K11" s="7"/>
      <c r="L11" s="7"/>
      <c r="M11" s="7"/>
      <c r="N11" s="7"/>
      <c r="O11" s="7"/>
      <c r="P11" s="7"/>
      <c r="Q11" s="7"/>
      <c r="R11" s="7"/>
      <c r="S11" s="8"/>
      <c r="T11" s="7"/>
      <c r="U11" s="8"/>
      <c r="V11" s="7"/>
      <c r="W11" s="7"/>
      <c r="X11" s="7"/>
      <c r="Y11" s="7"/>
      <c r="Z11" s="7"/>
      <c r="AA11" s="7"/>
      <c r="AB11" s="7"/>
      <c r="AC11" s="7"/>
    </row>
    <row r="12" spans="1:29" x14ac:dyDescent="0.2">
      <c r="J12" s="7"/>
      <c r="K12" s="7"/>
      <c r="L12" s="7"/>
      <c r="M12" s="7"/>
      <c r="N12" s="7"/>
      <c r="O12" s="7"/>
      <c r="P12" s="7"/>
      <c r="Q12" s="7"/>
      <c r="R12" s="7"/>
      <c r="S12" s="7"/>
      <c r="T12" s="7"/>
      <c r="U12" s="7"/>
      <c r="V12" s="7"/>
      <c r="W12" s="7"/>
      <c r="X12" s="7"/>
      <c r="Y12" s="7"/>
      <c r="Z12" s="7"/>
      <c r="AA12" s="7"/>
      <c r="AB12" s="7"/>
      <c r="AC12" s="7"/>
    </row>
    <row r="13" spans="1:29" x14ac:dyDescent="0.2">
      <c r="J13" s="7"/>
      <c r="K13" s="7"/>
      <c r="L13" s="7"/>
      <c r="M13" s="7"/>
      <c r="N13" s="7"/>
      <c r="O13" s="7"/>
      <c r="P13" s="7"/>
      <c r="Q13" s="7"/>
      <c r="R13" s="7"/>
      <c r="S13" s="7"/>
      <c r="T13" s="7"/>
      <c r="U13" s="7"/>
      <c r="V13" s="7"/>
      <c r="W13" s="7"/>
      <c r="X13" s="7"/>
      <c r="Y13" s="7"/>
      <c r="Z13" s="7"/>
      <c r="AA13" s="7"/>
      <c r="AB13" s="7"/>
      <c r="AC13" s="7"/>
    </row>
    <row r="14" spans="1:29" x14ac:dyDescent="0.2">
      <c r="J14" s="7"/>
      <c r="K14" s="7"/>
      <c r="L14" s="7"/>
      <c r="M14" s="7"/>
      <c r="N14" s="7"/>
      <c r="O14" s="7"/>
      <c r="P14" s="7"/>
      <c r="Q14" s="7"/>
      <c r="R14" s="7"/>
      <c r="S14" s="7"/>
      <c r="T14" s="7"/>
      <c r="U14" s="7"/>
      <c r="V14" s="7"/>
      <c r="W14" s="7"/>
      <c r="X14" s="7"/>
      <c r="Y14" s="7"/>
      <c r="Z14" s="7"/>
      <c r="AA14" s="7"/>
      <c r="AB14" s="7"/>
      <c r="AC14" s="7"/>
    </row>
    <row r="15" spans="1:29" x14ac:dyDescent="0.2">
      <c r="J15" s="7"/>
      <c r="K15" s="7"/>
      <c r="L15" s="7"/>
      <c r="M15" s="7"/>
      <c r="N15" s="7"/>
      <c r="O15" s="7"/>
      <c r="P15" s="7"/>
      <c r="Q15" s="7"/>
      <c r="R15" s="7"/>
      <c r="S15" s="7"/>
      <c r="T15" s="7"/>
      <c r="U15" s="7"/>
      <c r="V15" s="7"/>
      <c r="W15" s="7"/>
      <c r="X15" s="7"/>
      <c r="Y15" s="7"/>
      <c r="Z15" s="7"/>
      <c r="AA15" s="7"/>
      <c r="AB15" s="7"/>
      <c r="AC15" s="7"/>
    </row>
    <row r="16" spans="1:29" x14ac:dyDescent="0.2">
      <c r="J16" s="7"/>
      <c r="K16" s="7"/>
      <c r="L16" s="7"/>
      <c r="M16" s="7"/>
      <c r="N16" s="7"/>
      <c r="O16" s="7"/>
      <c r="P16" s="7"/>
      <c r="Q16" s="7"/>
      <c r="R16" s="7"/>
      <c r="S16" s="7"/>
      <c r="T16" s="7"/>
      <c r="U16" s="7"/>
      <c r="V16" s="7"/>
      <c r="W16" s="7"/>
      <c r="X16" s="7"/>
      <c r="Y16" s="7"/>
      <c r="Z16" s="7"/>
      <c r="AA16" s="7"/>
      <c r="AB16" s="7"/>
      <c r="AC16" s="7"/>
    </row>
    <row r="17" spans="1:29" x14ac:dyDescent="0.2">
      <c r="J17" s="7"/>
      <c r="K17" s="7"/>
      <c r="L17" s="7"/>
      <c r="M17" s="7"/>
      <c r="N17" s="7"/>
      <c r="O17" s="7"/>
      <c r="P17" s="7"/>
      <c r="Q17" s="7"/>
      <c r="R17" s="7"/>
      <c r="S17" s="7"/>
      <c r="T17" s="7"/>
      <c r="U17" s="7"/>
      <c r="V17" s="7"/>
      <c r="W17" s="7"/>
      <c r="X17" s="7"/>
      <c r="Y17" s="7"/>
      <c r="Z17" s="7"/>
      <c r="AA17" s="7"/>
      <c r="AB17" s="7"/>
      <c r="AC17" s="7"/>
    </row>
    <row r="18" spans="1:29" x14ac:dyDescent="0.2">
      <c r="J18" s="7"/>
      <c r="K18" s="7"/>
      <c r="L18" s="7"/>
      <c r="M18" s="7"/>
      <c r="N18" s="7"/>
      <c r="O18" s="7"/>
      <c r="P18" s="7"/>
      <c r="Q18" s="7"/>
      <c r="R18" s="7"/>
      <c r="S18" s="7"/>
      <c r="T18" s="7"/>
      <c r="U18" s="7"/>
      <c r="V18" s="7"/>
      <c r="W18" s="7"/>
      <c r="X18" s="7"/>
      <c r="Y18" s="7"/>
      <c r="Z18" s="7"/>
      <c r="AA18" s="7"/>
      <c r="AB18" s="7"/>
      <c r="AC18" s="7"/>
    </row>
    <row r="19" spans="1:29" x14ac:dyDescent="0.2">
      <c r="J19" s="7"/>
      <c r="K19" s="7"/>
      <c r="L19" s="7"/>
      <c r="M19" s="7"/>
      <c r="N19" s="7"/>
      <c r="O19" s="7"/>
      <c r="P19" s="7"/>
      <c r="Q19" s="7"/>
      <c r="R19" s="7"/>
      <c r="S19" s="7"/>
      <c r="T19" s="7"/>
      <c r="U19" s="7"/>
      <c r="V19" s="7"/>
      <c r="W19" s="7"/>
      <c r="X19" s="7"/>
      <c r="Y19" s="7"/>
      <c r="Z19" s="7"/>
      <c r="AA19" s="7"/>
      <c r="AB19" s="7"/>
      <c r="AC19" s="7"/>
    </row>
    <row r="20" spans="1:29" x14ac:dyDescent="0.2">
      <c r="J20" s="7"/>
      <c r="K20" s="7"/>
      <c r="L20" s="7"/>
      <c r="M20" s="7"/>
      <c r="N20" s="7"/>
      <c r="O20" s="7"/>
      <c r="P20" s="7"/>
      <c r="Q20" s="7"/>
      <c r="R20" s="7"/>
      <c r="S20" s="7"/>
      <c r="T20" s="7"/>
      <c r="U20" s="7"/>
      <c r="V20" s="7"/>
      <c r="W20" s="7"/>
      <c r="X20" s="7"/>
      <c r="Y20" s="7"/>
      <c r="Z20" s="7"/>
      <c r="AA20" s="7"/>
      <c r="AB20" s="7"/>
      <c r="AC20" s="7"/>
    </row>
    <row r="21" spans="1:29" x14ac:dyDescent="0.2">
      <c r="J21" s="7"/>
      <c r="K21" s="7"/>
      <c r="L21" s="7"/>
      <c r="M21" s="7"/>
      <c r="N21" s="7"/>
      <c r="O21" s="7"/>
      <c r="P21" s="7"/>
      <c r="Q21" s="7"/>
      <c r="R21" s="7"/>
      <c r="S21" s="7"/>
      <c r="T21" s="7"/>
      <c r="U21" s="7"/>
      <c r="V21" s="7"/>
      <c r="W21" s="7"/>
      <c r="X21" s="7"/>
      <c r="Y21" s="7"/>
      <c r="Z21" s="7"/>
      <c r="AA21" s="7"/>
      <c r="AB21" s="7"/>
      <c r="AC21" s="7"/>
    </row>
    <row r="22" spans="1:29" x14ac:dyDescent="0.2">
      <c r="J22" s="7"/>
      <c r="K22" s="7"/>
      <c r="L22" s="7"/>
      <c r="M22" s="7"/>
      <c r="N22" s="7"/>
      <c r="O22" s="7"/>
      <c r="P22" s="7"/>
      <c r="Q22" s="7"/>
      <c r="R22" s="7"/>
      <c r="S22" s="7"/>
      <c r="T22" s="7"/>
      <c r="U22" s="7"/>
      <c r="V22" s="7"/>
      <c r="W22" s="7"/>
      <c r="X22" s="7"/>
      <c r="Y22" s="7"/>
      <c r="Z22" s="7"/>
      <c r="AA22" s="7"/>
      <c r="AB22" s="7"/>
      <c r="AC22" s="7"/>
    </row>
    <row r="23" spans="1:29" x14ac:dyDescent="0.2">
      <c r="J23" s="7"/>
      <c r="K23" s="7"/>
      <c r="L23" s="7"/>
      <c r="M23" s="7"/>
      <c r="N23" s="7"/>
      <c r="O23" s="7"/>
      <c r="P23" s="7"/>
      <c r="Q23" s="7"/>
      <c r="R23" s="7"/>
      <c r="S23" s="7"/>
      <c r="T23" s="7"/>
      <c r="U23" s="7"/>
      <c r="V23" s="7"/>
      <c r="W23" s="7"/>
      <c r="X23" s="7"/>
      <c r="Y23" s="7"/>
      <c r="Z23" s="7"/>
      <c r="AA23" s="7"/>
      <c r="AB23" s="7"/>
      <c r="AC23" s="7"/>
    </row>
    <row r="24" spans="1:29" x14ac:dyDescent="0.2">
      <c r="J24" s="7"/>
      <c r="K24" s="7"/>
      <c r="L24" s="7"/>
      <c r="M24" s="7"/>
      <c r="N24" s="7"/>
      <c r="O24" s="7"/>
      <c r="P24" s="7"/>
      <c r="Q24" s="7"/>
      <c r="R24" s="7"/>
      <c r="S24" s="7"/>
      <c r="T24" s="7"/>
      <c r="U24" s="7"/>
      <c r="V24" s="7"/>
      <c r="W24" s="7"/>
      <c r="X24" s="7"/>
      <c r="Y24" s="7"/>
      <c r="Z24" s="7"/>
      <c r="AA24" s="7"/>
      <c r="AB24" s="7"/>
      <c r="AC24" s="7"/>
    </row>
    <row r="25" spans="1:29" x14ac:dyDescent="0.2">
      <c r="J25" s="7"/>
      <c r="K25" s="7"/>
      <c r="L25" s="7"/>
      <c r="M25" s="7"/>
      <c r="N25" s="7"/>
      <c r="O25" s="7"/>
      <c r="P25" s="7"/>
      <c r="Q25" s="7"/>
      <c r="R25" s="7"/>
      <c r="S25" s="7"/>
      <c r="T25" s="7"/>
      <c r="U25" s="7"/>
      <c r="V25" s="7"/>
      <c r="W25" s="7"/>
      <c r="X25" s="7"/>
      <c r="Y25" s="7"/>
      <c r="Z25" s="7"/>
      <c r="AA25" s="7"/>
      <c r="AB25" s="7"/>
      <c r="AC25" s="7"/>
    </row>
    <row r="26" spans="1:29" x14ac:dyDescent="0.2">
      <c r="J26" s="7"/>
      <c r="K26" s="7"/>
      <c r="L26" s="7"/>
      <c r="M26" s="7"/>
      <c r="N26" s="7"/>
      <c r="O26" s="7"/>
      <c r="P26" s="7"/>
      <c r="Q26" s="7"/>
      <c r="R26" s="7"/>
      <c r="S26" s="7"/>
      <c r="T26" s="7"/>
      <c r="U26" s="7"/>
      <c r="V26" s="7"/>
      <c r="W26" s="7"/>
      <c r="X26" s="7"/>
      <c r="Y26" s="7"/>
      <c r="Z26" s="7"/>
      <c r="AA26" s="7"/>
      <c r="AB26" s="7"/>
      <c r="AC26" s="7"/>
    </row>
    <row r="27" spans="1:29" x14ac:dyDescent="0.2">
      <c r="J27" s="7"/>
      <c r="K27" s="7"/>
      <c r="L27" s="7"/>
      <c r="M27" s="7"/>
      <c r="N27" s="7"/>
      <c r="O27" s="7"/>
      <c r="P27" s="7"/>
      <c r="Q27" s="7"/>
      <c r="R27" s="7"/>
      <c r="S27" s="7"/>
      <c r="T27" s="7"/>
      <c r="U27" s="7"/>
      <c r="V27" s="7"/>
      <c r="W27" s="7"/>
      <c r="X27" s="7"/>
      <c r="Y27" s="7"/>
      <c r="Z27" s="7"/>
      <c r="AA27" s="7"/>
      <c r="AB27" s="7"/>
      <c r="AC27" s="7"/>
    </row>
    <row r="28" spans="1:29" x14ac:dyDescent="0.2">
      <c r="J28" s="7"/>
      <c r="K28" s="7"/>
      <c r="L28" s="7"/>
      <c r="M28" s="7"/>
      <c r="N28" s="7"/>
      <c r="O28" s="7"/>
      <c r="P28" s="7"/>
      <c r="Q28" s="7"/>
      <c r="R28" s="7"/>
      <c r="S28" s="7"/>
      <c r="T28" s="7"/>
      <c r="U28" s="7"/>
      <c r="V28" s="7"/>
      <c r="W28" s="7"/>
      <c r="X28" s="7"/>
      <c r="Y28" s="7"/>
      <c r="Z28" s="7"/>
      <c r="AA28" s="7"/>
      <c r="AB28" s="7"/>
      <c r="AC28" s="7"/>
    </row>
    <row r="29" spans="1:29" x14ac:dyDescent="0.2">
      <c r="J29" s="7"/>
      <c r="K29" s="7"/>
      <c r="L29" s="7"/>
      <c r="M29" s="7"/>
      <c r="N29" s="7"/>
      <c r="O29" s="7"/>
      <c r="P29" s="7"/>
      <c r="Q29" s="7"/>
      <c r="R29" s="7"/>
      <c r="S29" s="7"/>
      <c r="T29" s="7"/>
      <c r="U29" s="7"/>
      <c r="V29" s="7"/>
      <c r="W29" s="7"/>
      <c r="X29" s="7"/>
      <c r="Y29" s="7"/>
      <c r="Z29" s="7"/>
      <c r="AA29" s="7"/>
      <c r="AB29" s="7"/>
      <c r="AC29" s="7"/>
    </row>
    <row r="30" spans="1:29" x14ac:dyDescent="0.2">
      <c r="J30" s="7"/>
      <c r="K30" s="7"/>
      <c r="L30" s="7"/>
      <c r="M30" s="7"/>
      <c r="N30" s="7"/>
      <c r="O30" s="7"/>
      <c r="P30" s="7"/>
      <c r="Q30" s="7"/>
      <c r="R30" s="7"/>
      <c r="S30" s="7"/>
      <c r="T30" s="7"/>
      <c r="U30" s="7"/>
      <c r="V30" s="7"/>
      <c r="W30" s="7"/>
      <c r="X30" s="7"/>
      <c r="Y30" s="7"/>
      <c r="Z30" s="7"/>
      <c r="AA30" s="7"/>
      <c r="AB30" s="7"/>
      <c r="AC30" s="7"/>
    </row>
    <row r="31" spans="1:29" x14ac:dyDescent="0.2">
      <c r="A31" s="3" t="s">
        <v>29</v>
      </c>
      <c r="B31" t="s">
        <v>19</v>
      </c>
      <c r="J31" s="7"/>
      <c r="K31" s="7"/>
      <c r="L31" s="7"/>
      <c r="M31" s="7"/>
      <c r="N31" s="7"/>
      <c r="O31" s="7"/>
      <c r="P31" s="7"/>
      <c r="Q31" s="7"/>
      <c r="R31" s="7"/>
      <c r="S31" s="7"/>
      <c r="T31" s="7"/>
      <c r="U31" s="7"/>
      <c r="V31" s="7"/>
      <c r="W31" s="7"/>
      <c r="X31" s="7"/>
      <c r="Y31" s="7"/>
      <c r="Z31" s="7"/>
      <c r="AA31" s="7"/>
      <c r="AB31" s="7"/>
      <c r="AC31" s="7"/>
    </row>
    <row r="32" spans="1:29" x14ac:dyDescent="0.2">
      <c r="A32" s="5">
        <v>2019</v>
      </c>
      <c r="B32" s="6">
        <v>1760.1</v>
      </c>
      <c r="J32" s="7"/>
      <c r="K32" s="7"/>
      <c r="L32" s="7"/>
      <c r="M32" s="7"/>
      <c r="N32" s="7"/>
      <c r="O32" s="7"/>
      <c r="P32" s="7"/>
      <c r="Q32" s="7"/>
      <c r="R32" s="7"/>
      <c r="S32" s="7"/>
      <c r="T32" s="7"/>
      <c r="U32" s="7"/>
      <c r="V32" s="7"/>
      <c r="W32" s="7"/>
      <c r="X32" s="7"/>
      <c r="Y32" s="7"/>
      <c r="Z32" s="7"/>
      <c r="AA32" s="7"/>
      <c r="AB32" s="7"/>
      <c r="AC32" s="7"/>
    </row>
    <row r="33" spans="1:29" x14ac:dyDescent="0.2">
      <c r="A33" s="5">
        <v>2020</v>
      </c>
      <c r="B33" s="6">
        <v>1909.8</v>
      </c>
      <c r="J33" s="7"/>
      <c r="K33" s="7"/>
      <c r="L33" s="7"/>
      <c r="M33" s="7"/>
      <c r="N33" s="7"/>
      <c r="O33" s="7"/>
      <c r="P33" s="7"/>
      <c r="Q33" s="7"/>
      <c r="R33" s="7"/>
      <c r="S33" s="7"/>
      <c r="T33" s="7"/>
      <c r="U33" s="7"/>
      <c r="V33" s="7"/>
      <c r="W33" s="7"/>
      <c r="X33" s="7"/>
      <c r="Y33" s="7"/>
      <c r="Z33" s="7"/>
      <c r="AA33" s="7"/>
      <c r="AB33" s="7"/>
      <c r="AC33" s="7"/>
    </row>
    <row r="34" spans="1:29" x14ac:dyDescent="0.2">
      <c r="A34" s="5">
        <v>2021</v>
      </c>
      <c r="B34" s="6">
        <v>2254.4</v>
      </c>
      <c r="J34" s="7"/>
      <c r="K34" s="7"/>
      <c r="L34" s="7"/>
      <c r="M34" s="7"/>
      <c r="N34" s="7"/>
      <c r="O34" s="7"/>
      <c r="P34" s="7"/>
      <c r="Q34" s="7"/>
      <c r="R34" s="7"/>
      <c r="S34" s="7"/>
      <c r="T34" s="7"/>
      <c r="U34" s="7"/>
      <c r="V34" s="7"/>
      <c r="W34" s="7"/>
      <c r="X34" s="7"/>
      <c r="Y34" s="7"/>
      <c r="Z34" s="7"/>
      <c r="AA34" s="7"/>
      <c r="AB34" s="7"/>
      <c r="AC34" s="7"/>
    </row>
    <row r="35" spans="1:29" x14ac:dyDescent="0.2">
      <c r="A35" s="5">
        <v>2022</v>
      </c>
      <c r="B35" s="6">
        <v>2606.1</v>
      </c>
      <c r="J35" s="7"/>
      <c r="K35" s="7"/>
      <c r="L35" s="7"/>
      <c r="M35" s="7"/>
      <c r="N35" s="7"/>
      <c r="O35" s="7"/>
      <c r="P35" s="7"/>
      <c r="Q35" s="7"/>
      <c r="R35" s="7"/>
      <c r="S35" s="7"/>
      <c r="T35" s="7"/>
      <c r="U35" s="7"/>
      <c r="V35" s="7"/>
      <c r="W35" s="7"/>
      <c r="X35" s="7"/>
      <c r="Y35" s="7"/>
      <c r="Z35" s="7"/>
      <c r="AA35" s="7"/>
      <c r="AB35" s="7"/>
      <c r="AC35" s="7"/>
    </row>
    <row r="36" spans="1:29" x14ac:dyDescent="0.2">
      <c r="A36" s="5">
        <v>2023</v>
      </c>
      <c r="B36" s="6">
        <v>2583.8000000000002</v>
      </c>
      <c r="J36" s="7"/>
      <c r="K36" s="7"/>
      <c r="L36" s="7"/>
      <c r="M36" s="7"/>
      <c r="N36" s="7"/>
      <c r="O36" s="7"/>
      <c r="P36" s="7"/>
      <c r="Q36" s="7"/>
      <c r="R36" s="7"/>
      <c r="S36" s="7"/>
      <c r="T36" s="7"/>
      <c r="U36" s="7"/>
      <c r="V36" s="7"/>
      <c r="W36" s="7"/>
      <c r="X36" s="7"/>
      <c r="Y36" s="7"/>
      <c r="Z36" s="7"/>
      <c r="AA36" s="7"/>
      <c r="AB36" s="7"/>
      <c r="AC36" s="7"/>
    </row>
    <row r="37" spans="1:29" x14ac:dyDescent="0.2">
      <c r="A37" s="5">
        <v>2024</v>
      </c>
      <c r="B37" s="6">
        <v>2641.8</v>
      </c>
      <c r="J37" s="7"/>
      <c r="K37" s="7"/>
      <c r="L37" s="7"/>
      <c r="M37" s="7"/>
      <c r="N37" s="7"/>
      <c r="O37" s="7"/>
      <c r="P37" s="7"/>
      <c r="Q37" s="7"/>
      <c r="R37" s="7"/>
      <c r="S37" s="7"/>
      <c r="T37" s="7"/>
      <c r="U37" s="7"/>
      <c r="V37" s="7"/>
      <c r="W37" s="7"/>
      <c r="X37" s="7"/>
      <c r="Y37" s="7"/>
      <c r="Z37" s="7"/>
      <c r="AA37" s="7"/>
      <c r="AB37" s="7"/>
      <c r="AC37" s="7"/>
    </row>
    <row r="38" spans="1:29" x14ac:dyDescent="0.2">
      <c r="A38" s="5">
        <v>2025</v>
      </c>
      <c r="B38" s="6">
        <v>2800.8</v>
      </c>
      <c r="J38" s="7"/>
      <c r="K38" s="7"/>
      <c r="L38" s="7"/>
      <c r="M38" s="7"/>
      <c r="N38" s="7"/>
      <c r="O38" s="7"/>
      <c r="P38" s="7"/>
      <c r="Q38" s="7"/>
      <c r="R38" s="7"/>
      <c r="S38" s="7"/>
      <c r="T38" s="7"/>
      <c r="U38" s="7"/>
      <c r="V38" s="7"/>
      <c r="W38" s="7"/>
      <c r="X38" s="7"/>
      <c r="Y38" s="7"/>
      <c r="Z38" s="7"/>
      <c r="AA38" s="7"/>
      <c r="AB38" s="7"/>
      <c r="AC38" s="7"/>
    </row>
    <row r="39" spans="1:29" x14ac:dyDescent="0.2">
      <c r="A39" s="5" t="s">
        <v>16</v>
      </c>
      <c r="B39" s="6">
        <v>16556.8</v>
      </c>
      <c r="J39" s="7"/>
      <c r="K39" s="7"/>
      <c r="L39" s="7"/>
      <c r="M39" s="7"/>
      <c r="N39" s="7"/>
      <c r="O39" s="7"/>
      <c r="P39" s="7"/>
      <c r="Q39" s="7"/>
      <c r="R39" s="7"/>
      <c r="S39" s="7"/>
      <c r="T39" s="7"/>
      <c r="U39" s="7"/>
      <c r="V39" s="7"/>
      <c r="W39" s="7"/>
      <c r="X39" s="7"/>
      <c r="Y39" s="7"/>
      <c r="Z39" s="7"/>
      <c r="AA39" s="7"/>
      <c r="AB39" s="7"/>
      <c r="AC39" s="7"/>
    </row>
    <row r="40" spans="1:29" x14ac:dyDescent="0.2">
      <c r="J40" s="7"/>
      <c r="K40" s="7"/>
      <c r="L40" s="7"/>
      <c r="M40" s="7"/>
      <c r="N40" s="7"/>
      <c r="O40" s="7"/>
      <c r="P40" s="7"/>
      <c r="Q40" s="7"/>
      <c r="R40" s="7"/>
      <c r="S40" s="7"/>
      <c r="T40" s="7"/>
      <c r="U40" s="7"/>
      <c r="V40" s="7"/>
      <c r="W40" s="7"/>
      <c r="X40" s="7"/>
      <c r="Y40" s="7"/>
      <c r="Z40" s="7"/>
      <c r="AA40" s="7"/>
      <c r="AB40" s="7"/>
      <c r="AC40" s="7"/>
    </row>
    <row r="41" spans="1:29" x14ac:dyDescent="0.2">
      <c r="J41" s="7"/>
      <c r="K41" s="7"/>
      <c r="L41" s="7"/>
      <c r="M41" s="7"/>
      <c r="N41" s="7"/>
      <c r="O41" s="7"/>
      <c r="P41" s="7"/>
      <c r="Q41" s="7"/>
      <c r="R41" s="7"/>
      <c r="S41" s="7"/>
      <c r="T41" s="7"/>
      <c r="U41" s="7"/>
      <c r="V41" s="7"/>
      <c r="W41" s="7"/>
      <c r="X41" s="7"/>
      <c r="Y41" s="7"/>
      <c r="Z41" s="7"/>
      <c r="AA41" s="7"/>
      <c r="AB41" s="7"/>
      <c r="AC41" s="7"/>
    </row>
    <row r="42" spans="1:29" x14ac:dyDescent="0.2">
      <c r="J42" s="7"/>
      <c r="K42" s="7"/>
      <c r="L42" s="7"/>
      <c r="M42" s="7"/>
      <c r="N42" s="7"/>
      <c r="O42" s="7"/>
      <c r="P42" s="7"/>
      <c r="Q42" s="7"/>
      <c r="R42" s="7"/>
      <c r="S42" s="7"/>
      <c r="T42" s="7"/>
      <c r="U42" s="7"/>
      <c r="V42" s="7"/>
      <c r="W42" s="7"/>
      <c r="X42" s="7"/>
      <c r="Y42" s="7"/>
      <c r="Z42" s="7"/>
      <c r="AA42" s="7"/>
      <c r="AB42" s="7"/>
      <c r="AC42" s="7"/>
    </row>
    <row r="43" spans="1:29" x14ac:dyDescent="0.2">
      <c r="J43" s="7"/>
      <c r="K43" s="7"/>
      <c r="L43" s="7"/>
      <c r="M43" s="7"/>
      <c r="N43" s="7"/>
      <c r="O43" s="7"/>
      <c r="P43" s="7"/>
      <c r="Q43" s="7"/>
      <c r="R43" s="7"/>
      <c r="S43" s="7"/>
      <c r="T43" s="7"/>
      <c r="U43" s="7"/>
      <c r="V43" s="7"/>
      <c r="W43" s="7"/>
      <c r="X43" s="7"/>
      <c r="Y43" s="7"/>
      <c r="Z43" s="7"/>
      <c r="AA43" s="7"/>
      <c r="AB43" s="7"/>
      <c r="AC43" s="7"/>
    </row>
    <row r="44" spans="1:29" x14ac:dyDescent="0.2">
      <c r="J44" s="7"/>
      <c r="K44" s="7"/>
      <c r="L44" s="7"/>
      <c r="M44" s="7"/>
      <c r="N44" s="7"/>
      <c r="O44" s="7"/>
      <c r="P44" s="7"/>
      <c r="Q44" s="7"/>
      <c r="R44" s="7"/>
      <c r="S44" s="7"/>
      <c r="T44" s="7"/>
      <c r="U44" s="7"/>
      <c r="V44" s="7"/>
      <c r="W44" s="7"/>
      <c r="X44" s="7"/>
      <c r="Y44" s="7"/>
      <c r="Z44" s="7"/>
      <c r="AA44" s="7"/>
      <c r="AB44" s="7"/>
      <c r="AC44" s="7"/>
    </row>
    <row r="45" spans="1:29" x14ac:dyDescent="0.2">
      <c r="J45" s="7"/>
      <c r="K45" s="7"/>
      <c r="L45" s="7"/>
      <c r="M45" s="7"/>
      <c r="N45" s="7"/>
      <c r="O45" s="7"/>
      <c r="P45" s="7"/>
      <c r="Q45" s="7"/>
      <c r="R45" s="7"/>
      <c r="S45" s="7"/>
      <c r="T45" s="7"/>
      <c r="U45" s="7"/>
      <c r="V45" s="7"/>
      <c r="W45" s="7"/>
      <c r="X45" s="7"/>
      <c r="Y45" s="7"/>
      <c r="Z45" s="7"/>
      <c r="AA45" s="7"/>
      <c r="AB45" s="7"/>
      <c r="AC45" s="7"/>
    </row>
    <row r="46" spans="1:29" x14ac:dyDescent="0.2">
      <c r="J46" s="7"/>
      <c r="K46" s="7"/>
      <c r="L46" s="7"/>
      <c r="M46" s="7"/>
      <c r="N46" s="7"/>
      <c r="O46" s="7"/>
      <c r="P46" s="7"/>
      <c r="Q46" s="7"/>
      <c r="R46" s="7"/>
      <c r="S46" s="7"/>
      <c r="T46" s="7"/>
      <c r="U46" s="7"/>
      <c r="V46" s="7"/>
      <c r="W46" s="7"/>
      <c r="X46" s="7"/>
      <c r="Y46" s="7"/>
      <c r="Z46" s="7"/>
      <c r="AA46" s="7"/>
      <c r="AB46" s="7"/>
      <c r="AC46" s="7"/>
    </row>
    <row r="47" spans="1:29" x14ac:dyDescent="0.2">
      <c r="J47" s="7"/>
      <c r="K47" s="7"/>
      <c r="L47" s="7"/>
      <c r="M47" s="7"/>
      <c r="N47" s="7"/>
      <c r="O47" s="7"/>
      <c r="P47" s="7"/>
      <c r="Q47" s="7"/>
      <c r="R47" s="7"/>
      <c r="S47" s="7"/>
      <c r="T47" s="7"/>
      <c r="U47" s="7"/>
      <c r="V47" s="7"/>
      <c r="W47" s="7"/>
      <c r="X47" s="7"/>
      <c r="Y47" s="7"/>
      <c r="Z47" s="7"/>
      <c r="AA47" s="7"/>
      <c r="AB47" s="7"/>
      <c r="AC47" s="7"/>
    </row>
    <row r="48" spans="1:29" x14ac:dyDescent="0.2">
      <c r="J48" s="7"/>
      <c r="K48" s="7"/>
      <c r="L48" s="7"/>
      <c r="M48" s="7"/>
      <c r="N48" s="7"/>
      <c r="O48" s="7"/>
      <c r="P48" s="7"/>
      <c r="Q48" s="7"/>
      <c r="R48" s="7"/>
      <c r="S48" s="7"/>
      <c r="T48" s="7"/>
      <c r="U48" s="7"/>
      <c r="V48" s="7"/>
      <c r="W48" s="7"/>
      <c r="X48" s="7"/>
      <c r="Y48" s="7"/>
      <c r="Z48" s="7"/>
      <c r="AA48" s="7"/>
      <c r="AB48" s="7"/>
      <c r="AC48" s="7"/>
    </row>
    <row r="49" spans="1:29" x14ac:dyDescent="0.2">
      <c r="J49" s="7"/>
      <c r="K49" s="7"/>
      <c r="L49" s="7"/>
      <c r="M49" s="7"/>
      <c r="N49" s="7"/>
      <c r="O49" s="7"/>
      <c r="P49" s="7"/>
      <c r="Q49" s="7"/>
      <c r="R49" s="7"/>
      <c r="S49" s="7"/>
      <c r="T49" s="7"/>
      <c r="U49" s="7"/>
      <c r="V49" s="7"/>
      <c r="W49" s="7"/>
      <c r="X49" s="7"/>
      <c r="Y49" s="7"/>
      <c r="Z49" s="7"/>
      <c r="AA49" s="7"/>
      <c r="AB49" s="7"/>
      <c r="AC49" s="7"/>
    </row>
    <row r="50" spans="1:29" x14ac:dyDescent="0.2">
      <c r="J50" s="7"/>
      <c r="K50" s="7"/>
      <c r="L50" s="7"/>
      <c r="M50" s="7"/>
      <c r="N50" s="7"/>
      <c r="O50" s="7"/>
      <c r="P50" s="7"/>
      <c r="Q50" s="7"/>
      <c r="R50" s="7"/>
      <c r="S50" s="7"/>
      <c r="T50" s="7"/>
      <c r="U50" s="7"/>
      <c r="V50" s="7"/>
      <c r="W50" s="7"/>
      <c r="X50" s="7"/>
      <c r="Y50" s="7"/>
      <c r="Z50" s="7"/>
      <c r="AA50" s="7"/>
      <c r="AB50" s="7"/>
      <c r="AC50" s="7"/>
    </row>
    <row r="51" spans="1:29" x14ac:dyDescent="0.2">
      <c r="A51" s="3" t="s">
        <v>29</v>
      </c>
      <c r="B51" t="s">
        <v>17</v>
      </c>
      <c r="J51" s="7"/>
      <c r="K51" s="7"/>
      <c r="L51" s="7"/>
      <c r="M51" s="7"/>
      <c r="N51" s="7"/>
      <c r="O51" s="7"/>
      <c r="P51" s="7"/>
      <c r="Q51" s="7"/>
      <c r="R51" s="7"/>
      <c r="S51" s="7"/>
      <c r="T51" s="7"/>
      <c r="U51" s="7"/>
      <c r="V51" s="7"/>
      <c r="W51" s="7"/>
      <c r="X51" s="7"/>
      <c r="Y51" s="7"/>
      <c r="Z51" s="7"/>
      <c r="AA51" s="7"/>
      <c r="AB51" s="7"/>
      <c r="AC51" s="7"/>
    </row>
    <row r="52" spans="1:29" x14ac:dyDescent="0.2">
      <c r="A52" s="5">
        <v>2019</v>
      </c>
      <c r="B52" s="6">
        <v>2.29</v>
      </c>
      <c r="J52" s="7"/>
      <c r="K52" s="7"/>
      <c r="L52" s="7"/>
      <c r="M52" s="7"/>
      <c r="N52" s="7"/>
      <c r="O52" s="7"/>
      <c r="P52" s="7"/>
      <c r="Q52" s="7"/>
      <c r="R52" s="7"/>
      <c r="S52" s="7"/>
      <c r="T52" s="7"/>
      <c r="U52" s="7"/>
      <c r="V52" s="7"/>
      <c r="W52" s="7"/>
      <c r="X52" s="7"/>
      <c r="Y52" s="7"/>
      <c r="Z52" s="7"/>
      <c r="AA52" s="7"/>
      <c r="AB52" s="7"/>
      <c r="AC52" s="7"/>
    </row>
    <row r="53" spans="1:29" x14ac:dyDescent="0.2">
      <c r="A53" s="5">
        <v>2020</v>
      </c>
      <c r="B53" s="6">
        <v>5.35</v>
      </c>
      <c r="J53" s="7"/>
      <c r="K53" s="7"/>
      <c r="L53" s="7"/>
      <c r="M53" s="7"/>
      <c r="N53" s="7"/>
      <c r="O53" s="7"/>
      <c r="P53" s="7"/>
      <c r="Q53" s="7"/>
      <c r="R53" s="7"/>
      <c r="S53" s="7"/>
      <c r="T53" s="7"/>
      <c r="U53" s="7"/>
      <c r="V53" s="7"/>
      <c r="W53" s="7"/>
      <c r="X53" s="7"/>
      <c r="Y53" s="7"/>
      <c r="Z53" s="7"/>
      <c r="AA53" s="7"/>
      <c r="AB53" s="7"/>
      <c r="AC53" s="7"/>
    </row>
    <row r="54" spans="1:29" x14ac:dyDescent="0.2">
      <c r="A54" s="5">
        <v>2021</v>
      </c>
      <c r="B54" s="6">
        <v>2.2999999999999998</v>
      </c>
      <c r="J54" s="7"/>
      <c r="K54" s="7"/>
      <c r="L54" s="7"/>
      <c r="M54" s="7"/>
      <c r="N54" s="7"/>
      <c r="O54" s="7"/>
      <c r="P54" s="7"/>
      <c r="Q54" s="7"/>
      <c r="R54" s="7"/>
      <c r="S54" s="7"/>
      <c r="T54" s="7"/>
      <c r="U54" s="7"/>
      <c r="V54" s="7"/>
      <c r="W54" s="7"/>
      <c r="X54" s="7"/>
      <c r="Y54" s="7"/>
      <c r="Z54" s="7"/>
      <c r="AA54" s="7"/>
      <c r="AB54" s="7"/>
      <c r="AC54" s="7"/>
    </row>
    <row r="55" spans="1:29" x14ac:dyDescent="0.2">
      <c r="A55" s="5">
        <v>2022</v>
      </c>
      <c r="B55" s="6">
        <v>-0.66</v>
      </c>
      <c r="J55" s="7"/>
      <c r="K55" s="7"/>
      <c r="L55" s="7"/>
      <c r="M55" s="7"/>
      <c r="N55" s="7"/>
      <c r="O55" s="7"/>
      <c r="P55" s="7"/>
      <c r="Q55" s="7"/>
      <c r="R55" s="7"/>
      <c r="S55" s="7"/>
      <c r="T55" s="7"/>
      <c r="U55" s="7"/>
      <c r="V55" s="7"/>
      <c r="W55" s="7"/>
      <c r="X55" s="7"/>
      <c r="Y55" s="7"/>
      <c r="Z55" s="7"/>
      <c r="AA55" s="7"/>
      <c r="AB55" s="7"/>
      <c r="AC55" s="7"/>
    </row>
    <row r="56" spans="1:29" x14ac:dyDescent="0.2">
      <c r="A56" s="5">
        <v>2023</v>
      </c>
      <c r="B56" s="6">
        <v>-7.34</v>
      </c>
      <c r="J56" s="7"/>
      <c r="K56" s="7"/>
      <c r="L56" s="7"/>
      <c r="M56" s="7"/>
      <c r="N56" s="7"/>
      <c r="O56" s="7"/>
      <c r="P56" s="7"/>
      <c r="Q56" s="7"/>
      <c r="R56" s="7"/>
      <c r="S56" s="7"/>
      <c r="T56" s="7"/>
      <c r="U56" s="7"/>
      <c r="V56" s="7"/>
      <c r="W56" s="7"/>
      <c r="X56" s="7"/>
      <c r="Y56" s="7"/>
      <c r="Z56" s="7"/>
      <c r="AA56" s="7"/>
      <c r="AB56" s="7"/>
      <c r="AC56" s="7"/>
    </row>
    <row r="57" spans="1:29" x14ac:dyDescent="0.2">
      <c r="A57" s="5">
        <v>2024</v>
      </c>
      <c r="B57" s="6">
        <v>-1.07</v>
      </c>
      <c r="J57" s="7"/>
      <c r="K57" s="7"/>
      <c r="L57" s="7"/>
      <c r="M57" s="7"/>
      <c r="N57" s="7"/>
      <c r="O57" s="7"/>
      <c r="P57" s="7"/>
      <c r="Q57" s="7"/>
      <c r="R57" s="7"/>
      <c r="S57" s="7"/>
      <c r="T57" s="7"/>
      <c r="U57" s="7"/>
      <c r="V57" s="7"/>
      <c r="W57" s="7"/>
      <c r="X57" s="7"/>
      <c r="Y57" s="7"/>
      <c r="Z57" s="7"/>
      <c r="AA57" s="7"/>
      <c r="AB57" s="7"/>
      <c r="AC57" s="7"/>
    </row>
    <row r="58" spans="1:29" x14ac:dyDescent="0.2">
      <c r="A58" s="5">
        <v>2025</v>
      </c>
      <c r="B58" s="6">
        <v>4.49</v>
      </c>
      <c r="J58" s="7"/>
      <c r="K58" s="7"/>
      <c r="L58" s="7"/>
      <c r="M58" s="7"/>
      <c r="N58" s="7"/>
      <c r="O58" s="7"/>
      <c r="P58" s="7"/>
      <c r="Q58" s="7"/>
      <c r="R58" s="7"/>
      <c r="S58" s="7"/>
      <c r="T58" s="7"/>
      <c r="U58" s="7"/>
      <c r="V58" s="7"/>
      <c r="W58" s="7"/>
      <c r="X58" s="7"/>
      <c r="Y58" s="7"/>
      <c r="Z58" s="7"/>
      <c r="AA58" s="7"/>
      <c r="AB58" s="7"/>
      <c r="AC58" s="7"/>
    </row>
    <row r="59" spans="1:29" x14ac:dyDescent="0.2">
      <c r="A59" s="5" t="s">
        <v>16</v>
      </c>
      <c r="B59" s="6">
        <v>5.3599999999999994</v>
      </c>
      <c r="J59" s="7"/>
      <c r="K59" s="7"/>
      <c r="L59" s="7"/>
      <c r="M59" s="7"/>
      <c r="N59" s="7"/>
      <c r="O59" s="7"/>
      <c r="P59" s="7"/>
      <c r="Q59" s="7"/>
      <c r="R59" s="7"/>
      <c r="S59" s="7"/>
      <c r="T59" s="7"/>
      <c r="U59" s="7"/>
      <c r="V59" s="7"/>
      <c r="W59" s="7"/>
      <c r="X59" s="7"/>
      <c r="Y59" s="7"/>
      <c r="Z59" s="7"/>
      <c r="AA59" s="7"/>
      <c r="AB59" s="7"/>
      <c r="AC59" s="7"/>
    </row>
    <row r="60" spans="1:29" x14ac:dyDescent="0.2">
      <c r="J60" s="7"/>
      <c r="K60" s="7"/>
      <c r="L60" s="7"/>
      <c r="M60" s="7"/>
      <c r="N60" s="7"/>
      <c r="O60" s="7"/>
      <c r="P60" s="7"/>
      <c r="Q60" s="7"/>
      <c r="R60" s="7"/>
      <c r="S60" s="7"/>
      <c r="T60" s="7"/>
      <c r="U60" s="7"/>
      <c r="V60" s="7"/>
      <c r="W60" s="7"/>
      <c r="X60" s="7"/>
      <c r="Y60" s="7"/>
      <c r="Z60" s="7"/>
      <c r="AA60" s="7"/>
      <c r="AB60" s="7"/>
      <c r="AC60" s="7"/>
    </row>
    <row r="61" spans="1:29" x14ac:dyDescent="0.2">
      <c r="J61" s="7"/>
      <c r="K61" s="7"/>
      <c r="L61" s="7"/>
      <c r="M61" s="7"/>
      <c r="N61" s="7"/>
      <c r="O61" s="7"/>
      <c r="P61" s="7"/>
      <c r="Q61" s="7"/>
      <c r="R61" s="7"/>
      <c r="S61" s="7"/>
      <c r="T61" s="7"/>
      <c r="U61" s="7"/>
      <c r="V61" s="7"/>
      <c r="W61" s="7"/>
      <c r="X61" s="7"/>
      <c r="Y61" s="7"/>
      <c r="Z61" s="7"/>
      <c r="AA61" s="7"/>
      <c r="AB61" s="7"/>
      <c r="AC61" s="7"/>
    </row>
    <row r="62" spans="1:29" x14ac:dyDescent="0.2">
      <c r="J62" s="7"/>
      <c r="K62" s="7"/>
      <c r="L62" s="7"/>
      <c r="M62" s="7"/>
      <c r="N62" s="7"/>
      <c r="O62" s="7"/>
      <c r="P62" s="7"/>
      <c r="Q62" s="7"/>
      <c r="R62" s="7"/>
      <c r="S62" s="7"/>
      <c r="T62" s="7"/>
      <c r="U62" s="7"/>
      <c r="V62" s="7"/>
      <c r="W62" s="7"/>
      <c r="X62" s="7"/>
      <c r="Y62" s="7"/>
      <c r="Z62" s="7"/>
      <c r="AA62" s="7"/>
      <c r="AB62" s="7"/>
      <c r="AC62" s="7"/>
    </row>
    <row r="63" spans="1:29" x14ac:dyDescent="0.2">
      <c r="J63" s="7"/>
      <c r="K63" s="7"/>
      <c r="L63" s="7"/>
      <c r="M63" s="7"/>
      <c r="N63" s="7"/>
      <c r="O63" s="7"/>
      <c r="P63" s="7"/>
      <c r="Q63" s="7"/>
      <c r="R63" s="7"/>
      <c r="S63" s="7"/>
      <c r="T63" s="7"/>
      <c r="U63" s="7"/>
      <c r="V63" s="7"/>
      <c r="W63" s="7"/>
      <c r="X63" s="7"/>
      <c r="Y63" s="7"/>
      <c r="Z63" s="7"/>
      <c r="AA63" s="7"/>
      <c r="AB63" s="7"/>
      <c r="AC63" s="7"/>
    </row>
    <row r="68" spans="1:2" x14ac:dyDescent="0.2">
      <c r="A68" s="3" t="s">
        <v>29</v>
      </c>
      <c r="B68" t="s">
        <v>20</v>
      </c>
    </row>
    <row r="69" spans="1:2" x14ac:dyDescent="0.2">
      <c r="A69" s="5">
        <v>2019</v>
      </c>
      <c r="B69" s="6">
        <v>61.2</v>
      </c>
    </row>
    <row r="70" spans="1:2" x14ac:dyDescent="0.2">
      <c r="A70" s="5">
        <v>2020</v>
      </c>
      <c r="B70" s="6">
        <v>69.8</v>
      </c>
    </row>
    <row r="71" spans="1:2" x14ac:dyDescent="0.2">
      <c r="A71" s="5">
        <v>2021</v>
      </c>
      <c r="B71" s="6">
        <v>74.3</v>
      </c>
    </row>
    <row r="72" spans="1:2" x14ac:dyDescent="0.2">
      <c r="A72" s="5">
        <v>2022</v>
      </c>
      <c r="B72" s="6">
        <v>75.599999999999994</v>
      </c>
    </row>
    <row r="73" spans="1:2" x14ac:dyDescent="0.2">
      <c r="A73" s="5">
        <v>2023</v>
      </c>
      <c r="B73" s="6">
        <v>72.400000000000006</v>
      </c>
    </row>
    <row r="74" spans="1:2" x14ac:dyDescent="0.2">
      <c r="A74" s="5">
        <v>2024</v>
      </c>
      <c r="B74" s="6">
        <v>75.2</v>
      </c>
    </row>
    <row r="75" spans="1:2" x14ac:dyDescent="0.2">
      <c r="A75" s="5">
        <v>2025</v>
      </c>
      <c r="B75" s="6">
        <v>76.5</v>
      </c>
    </row>
    <row r="76" spans="1:2" x14ac:dyDescent="0.2">
      <c r="A76" s="5" t="s">
        <v>16</v>
      </c>
      <c r="B76" s="6">
        <v>504.99999999999994</v>
      </c>
    </row>
    <row r="91" spans="1:2" x14ac:dyDescent="0.2">
      <c r="A91" s="3" t="s">
        <v>29</v>
      </c>
      <c r="B91" t="s">
        <v>21</v>
      </c>
    </row>
    <row r="92" spans="1:2" x14ac:dyDescent="0.2">
      <c r="A92" s="5">
        <v>2019</v>
      </c>
      <c r="B92" s="6">
        <v>2.6</v>
      </c>
    </row>
    <row r="93" spans="1:2" x14ac:dyDescent="0.2">
      <c r="A93" s="5">
        <v>2020</v>
      </c>
      <c r="B93" s="6">
        <v>2.4</v>
      </c>
    </row>
    <row r="94" spans="1:2" x14ac:dyDescent="0.2">
      <c r="A94" s="5">
        <v>2021</v>
      </c>
      <c r="B94" s="6">
        <v>2.2000000000000002</v>
      </c>
    </row>
    <row r="95" spans="1:2" x14ac:dyDescent="0.2">
      <c r="A95" s="5">
        <v>2022</v>
      </c>
      <c r="B95" s="6">
        <v>2</v>
      </c>
    </row>
    <row r="96" spans="1:2" x14ac:dyDescent="0.2">
      <c r="A96" s="5">
        <v>2023</v>
      </c>
      <c r="B96" s="6">
        <v>2</v>
      </c>
    </row>
    <row r="97" spans="1:2" x14ac:dyDescent="0.2">
      <c r="A97" s="5">
        <v>2024</v>
      </c>
      <c r="B97" s="6">
        <v>2</v>
      </c>
    </row>
    <row r="98" spans="1:2" x14ac:dyDescent="0.2">
      <c r="A98" s="5">
        <v>2025</v>
      </c>
      <c r="B98" s="6">
        <v>2.1</v>
      </c>
    </row>
    <row r="99" spans="1:2" x14ac:dyDescent="0.2">
      <c r="A99" s="5" t="s">
        <v>16</v>
      </c>
      <c r="B99" s="6">
        <v>15.299999999999999</v>
      </c>
    </row>
    <row r="106" spans="1:2" x14ac:dyDescent="0.2">
      <c r="A106" s="3" t="s">
        <v>29</v>
      </c>
      <c r="B106" t="s">
        <v>22</v>
      </c>
    </row>
    <row r="107" spans="1:2" x14ac:dyDescent="0.2">
      <c r="A107" s="5">
        <v>2019</v>
      </c>
      <c r="B107" s="6">
        <v>3.9</v>
      </c>
    </row>
    <row r="108" spans="1:2" x14ac:dyDescent="0.2">
      <c r="A108" s="5">
        <v>2020</v>
      </c>
      <c r="B108" s="6">
        <v>3.1</v>
      </c>
    </row>
    <row r="109" spans="1:2" x14ac:dyDescent="0.2">
      <c r="A109" s="5">
        <v>2021</v>
      </c>
      <c r="B109" s="6">
        <v>3.8</v>
      </c>
    </row>
    <row r="110" spans="1:2" x14ac:dyDescent="0.2">
      <c r="A110" s="5">
        <v>2022</v>
      </c>
      <c r="B110" s="6">
        <v>3.3</v>
      </c>
    </row>
    <row r="111" spans="1:2" x14ac:dyDescent="0.2">
      <c r="A111" s="5">
        <v>2023</v>
      </c>
      <c r="B111" s="6">
        <v>3.8</v>
      </c>
    </row>
    <row r="112" spans="1:2" x14ac:dyDescent="0.2">
      <c r="A112" s="5">
        <v>2024</v>
      </c>
      <c r="B112" s="6">
        <v>4.0999999999999996</v>
      </c>
    </row>
    <row r="113" spans="1:2" x14ac:dyDescent="0.2">
      <c r="A113" s="5">
        <v>2025</v>
      </c>
      <c r="B113" s="6">
        <v>4.0999999999999996</v>
      </c>
    </row>
    <row r="114" spans="1:2" x14ac:dyDescent="0.2">
      <c r="A114" s="5" t="s">
        <v>16</v>
      </c>
      <c r="B114" s="6">
        <v>26.1</v>
      </c>
    </row>
    <row r="116" spans="1:2" x14ac:dyDescent="0.2">
      <c r="A116" s="3" t="s">
        <v>29</v>
      </c>
      <c r="B116" t="s">
        <v>25</v>
      </c>
    </row>
    <row r="117" spans="1:2" x14ac:dyDescent="0.2">
      <c r="A117" s="5">
        <v>2019</v>
      </c>
      <c r="B117" s="4">
        <v>1971.1</v>
      </c>
    </row>
    <row r="118" spans="1:2" x14ac:dyDescent="0.2">
      <c r="A118" s="5">
        <v>2020</v>
      </c>
      <c r="B118" s="4">
        <v>1935.9</v>
      </c>
    </row>
    <row r="119" spans="1:2" x14ac:dyDescent="0.2">
      <c r="A119" s="5">
        <v>2021</v>
      </c>
      <c r="B119" s="4">
        <v>2185.6</v>
      </c>
    </row>
    <row r="120" spans="1:2" x14ac:dyDescent="0.2">
      <c r="A120" s="5">
        <v>2022</v>
      </c>
      <c r="B120" s="4">
        <v>2266.3000000000002</v>
      </c>
    </row>
    <row r="121" spans="1:2" x14ac:dyDescent="0.2">
      <c r="A121" s="5">
        <v>2023</v>
      </c>
      <c r="B121" s="4">
        <v>1527</v>
      </c>
    </row>
    <row r="122" spans="1:2" x14ac:dyDescent="0.2">
      <c r="A122" s="5">
        <v>2024</v>
      </c>
      <c r="B122" s="4">
        <v>1601</v>
      </c>
    </row>
    <row r="123" spans="1:2" x14ac:dyDescent="0.2">
      <c r="A123" s="5">
        <v>2025</v>
      </c>
      <c r="B123" s="4">
        <v>1972.7</v>
      </c>
    </row>
    <row r="124" spans="1:2" x14ac:dyDescent="0.2">
      <c r="A124" s="5" t="s">
        <v>16</v>
      </c>
      <c r="B124" s="4">
        <v>13459.600000000002</v>
      </c>
    </row>
    <row r="134" spans="1:2" x14ac:dyDescent="0.2">
      <c r="A134" s="3" t="s">
        <v>29</v>
      </c>
      <c r="B134" t="s">
        <v>26</v>
      </c>
    </row>
    <row r="135" spans="1:2" x14ac:dyDescent="0.2">
      <c r="A135" s="5">
        <v>2019</v>
      </c>
      <c r="B135" s="6">
        <v>12.2</v>
      </c>
    </row>
    <row r="136" spans="1:2" x14ac:dyDescent="0.2">
      <c r="A136" s="5">
        <v>2020</v>
      </c>
      <c r="B136" s="6">
        <v>12.1</v>
      </c>
    </row>
    <row r="137" spans="1:2" x14ac:dyDescent="0.2">
      <c r="A137" s="5">
        <v>2021</v>
      </c>
      <c r="B137" s="6">
        <v>13.01</v>
      </c>
    </row>
    <row r="138" spans="1:2" x14ac:dyDescent="0.2">
      <c r="A138" s="5">
        <v>2022</v>
      </c>
      <c r="B138" s="6">
        <v>12.86</v>
      </c>
    </row>
    <row r="139" spans="1:2" x14ac:dyDescent="0.2">
      <c r="A139" s="5">
        <v>2023</v>
      </c>
      <c r="B139" s="6">
        <v>12.41</v>
      </c>
    </row>
    <row r="140" spans="1:2" x14ac:dyDescent="0.2">
      <c r="A140" s="5">
        <v>2024</v>
      </c>
      <c r="B140" s="6">
        <v>13.82</v>
      </c>
    </row>
    <row r="141" spans="1:2" x14ac:dyDescent="0.2">
      <c r="A141" s="5">
        <v>2025</v>
      </c>
      <c r="B141" s="6">
        <v>14.46</v>
      </c>
    </row>
    <row r="142" spans="1:2" x14ac:dyDescent="0.2">
      <c r="A142" s="5" t="s">
        <v>16</v>
      </c>
      <c r="B142" s="6">
        <v>90.860000000000014</v>
      </c>
    </row>
    <row r="149" spans="1:2" x14ac:dyDescent="0.2">
      <c r="A149" s="3" t="s">
        <v>29</v>
      </c>
      <c r="B149" t="s">
        <v>27</v>
      </c>
    </row>
    <row r="150" spans="1:2" x14ac:dyDescent="0.2">
      <c r="A150" s="5">
        <v>2019</v>
      </c>
      <c r="B150" s="6">
        <v>2092</v>
      </c>
    </row>
    <row r="151" spans="1:2" x14ac:dyDescent="0.2">
      <c r="A151" s="5">
        <v>2020</v>
      </c>
      <c r="B151" s="6">
        <v>2088</v>
      </c>
    </row>
    <row r="152" spans="1:2" x14ac:dyDescent="0.2">
      <c r="A152" s="5">
        <v>2021</v>
      </c>
      <c r="B152" s="6">
        <v>2200</v>
      </c>
    </row>
    <row r="153" spans="1:2" x14ac:dyDescent="0.2">
      <c r="A153" s="5">
        <v>2022</v>
      </c>
      <c r="B153" s="6">
        <v>3749</v>
      </c>
    </row>
    <row r="154" spans="1:2" x14ac:dyDescent="0.2">
      <c r="A154" s="5">
        <v>2023</v>
      </c>
      <c r="B154" s="6">
        <v>2460</v>
      </c>
    </row>
    <row r="155" spans="1:2" x14ac:dyDescent="0.2">
      <c r="A155" s="5">
        <v>2024</v>
      </c>
      <c r="B155" s="6">
        <v>3747</v>
      </c>
    </row>
    <row r="156" spans="1:2" x14ac:dyDescent="0.2">
      <c r="A156" s="5">
        <v>2025</v>
      </c>
      <c r="B156" s="6">
        <v>2090</v>
      </c>
    </row>
    <row r="157" spans="1:2" x14ac:dyDescent="0.2">
      <c r="A157" s="5" t="s">
        <v>16</v>
      </c>
      <c r="B157" s="6">
        <v>18426</v>
      </c>
    </row>
    <row r="167" spans="1:2" x14ac:dyDescent="0.2">
      <c r="A167" s="3" t="s">
        <v>29</v>
      </c>
      <c r="B167" t="s">
        <v>28</v>
      </c>
    </row>
    <row r="168" spans="1:2" x14ac:dyDescent="0.2">
      <c r="A168" s="5">
        <v>2019</v>
      </c>
      <c r="B168" s="6">
        <v>47.2</v>
      </c>
    </row>
    <row r="169" spans="1:2" x14ac:dyDescent="0.2">
      <c r="A169" s="5">
        <v>2020</v>
      </c>
      <c r="B169" s="6">
        <v>39.5</v>
      </c>
    </row>
    <row r="170" spans="1:2" x14ac:dyDescent="0.2">
      <c r="A170" s="5">
        <v>2021</v>
      </c>
      <c r="B170" s="6">
        <v>38.4</v>
      </c>
    </row>
    <row r="171" spans="1:2" x14ac:dyDescent="0.2">
      <c r="A171" s="5">
        <v>2022</v>
      </c>
      <c r="B171" s="6">
        <v>33</v>
      </c>
    </row>
    <row r="172" spans="1:2" x14ac:dyDescent="0.2">
      <c r="A172" s="5">
        <v>2023</v>
      </c>
      <c r="B172" s="6">
        <v>31.7</v>
      </c>
    </row>
    <row r="173" spans="1:2" x14ac:dyDescent="0.2">
      <c r="A173" s="5">
        <v>2024</v>
      </c>
      <c r="B173" s="6">
        <v>31.2</v>
      </c>
    </row>
    <row r="174" spans="1:2" x14ac:dyDescent="0.2">
      <c r="A174" s="5">
        <v>2025</v>
      </c>
      <c r="B174" s="6">
        <v>30.7</v>
      </c>
    </row>
    <row r="175" spans="1:2" x14ac:dyDescent="0.2">
      <c r="A175" s="5" t="s">
        <v>16</v>
      </c>
      <c r="B175" s="6">
        <v>251.69999999999996</v>
      </c>
    </row>
    <row r="179" spans="1:2" x14ac:dyDescent="0.2">
      <c r="A179" s="3" t="s">
        <v>29</v>
      </c>
      <c r="B179" t="s">
        <v>32</v>
      </c>
    </row>
    <row r="180" spans="1:2" x14ac:dyDescent="0.2">
      <c r="A180" s="5">
        <v>2019</v>
      </c>
      <c r="B180" s="6">
        <v>0</v>
      </c>
    </row>
    <row r="181" spans="1:2" x14ac:dyDescent="0.2">
      <c r="A181" s="5">
        <v>2020</v>
      </c>
      <c r="B181" s="6">
        <v>0</v>
      </c>
    </row>
    <row r="182" spans="1:2" x14ac:dyDescent="0.2">
      <c r="A182" s="5">
        <v>2021</v>
      </c>
      <c r="B182" s="6">
        <v>0</v>
      </c>
    </row>
    <row r="183" spans="1:2" x14ac:dyDescent="0.2">
      <c r="A183" s="5">
        <v>2022</v>
      </c>
      <c r="B183" s="6">
        <v>0</v>
      </c>
    </row>
    <row r="184" spans="1:2" x14ac:dyDescent="0.2">
      <c r="A184" s="5">
        <v>2023</v>
      </c>
      <c r="B184" s="6">
        <v>0</v>
      </c>
    </row>
    <row r="185" spans="1:2" x14ac:dyDescent="0.2">
      <c r="A185" s="5">
        <v>2024</v>
      </c>
      <c r="B185" s="6">
        <v>0.75</v>
      </c>
    </row>
    <row r="186" spans="1:2" x14ac:dyDescent="0.2">
      <c r="A186" s="5">
        <v>2025</v>
      </c>
      <c r="B186" s="6">
        <v>0.77</v>
      </c>
    </row>
    <row r="187" spans="1:2" x14ac:dyDescent="0.2">
      <c r="A187" s="5" t="s">
        <v>16</v>
      </c>
      <c r="B187" s="6">
        <v>0</v>
      </c>
    </row>
    <row r="192" spans="1:2" x14ac:dyDescent="0.2">
      <c r="A192" s="3" t="s">
        <v>29</v>
      </c>
      <c r="B192" t="s">
        <v>30</v>
      </c>
    </row>
    <row r="193" spans="1:2" x14ac:dyDescent="0.2">
      <c r="A193" s="5">
        <v>2019</v>
      </c>
      <c r="B193" s="9">
        <v>1</v>
      </c>
    </row>
    <row r="194" spans="1:2" x14ac:dyDescent="0.2">
      <c r="A194" s="5">
        <v>2020</v>
      </c>
      <c r="B194" s="6">
        <v>1</v>
      </c>
    </row>
    <row r="195" spans="1:2" x14ac:dyDescent="0.2">
      <c r="A195" s="5">
        <v>2022</v>
      </c>
      <c r="B195" s="9">
        <v>1</v>
      </c>
    </row>
    <row r="196" spans="1:2" x14ac:dyDescent="0.2">
      <c r="A196" s="5">
        <v>2023</v>
      </c>
      <c r="B196" s="6">
        <v>1</v>
      </c>
    </row>
    <row r="197" spans="1:2" x14ac:dyDescent="0.2">
      <c r="A197" s="5">
        <v>2024</v>
      </c>
      <c r="B197" s="6">
        <v>1</v>
      </c>
    </row>
    <row r="198" spans="1:2" x14ac:dyDescent="0.2">
      <c r="A198" s="5">
        <v>2025</v>
      </c>
      <c r="B198" s="6">
        <v>1</v>
      </c>
    </row>
    <row r="199" spans="1:2" x14ac:dyDescent="0.2">
      <c r="A199" s="5" t="s">
        <v>16</v>
      </c>
      <c r="B199" s="6">
        <v>6</v>
      </c>
    </row>
    <row r="208" spans="1:2" x14ac:dyDescent="0.2">
      <c r="A208" s="3" t="s">
        <v>29</v>
      </c>
      <c r="B208" t="s">
        <v>31</v>
      </c>
    </row>
    <row r="209" spans="1:2" x14ac:dyDescent="0.2">
      <c r="A209" s="5">
        <v>2019</v>
      </c>
      <c r="B209" s="6">
        <v>47.8</v>
      </c>
    </row>
    <row r="210" spans="1:2" x14ac:dyDescent="0.2">
      <c r="A210" s="5">
        <v>2020</v>
      </c>
      <c r="B210" s="6">
        <v>46.1</v>
      </c>
    </row>
    <row r="211" spans="1:2" x14ac:dyDescent="0.2">
      <c r="A211" s="5">
        <v>2021</v>
      </c>
      <c r="B211" s="6">
        <v>40.1</v>
      </c>
    </row>
    <row r="212" spans="1:2" x14ac:dyDescent="0.2">
      <c r="A212" s="5">
        <v>2022</v>
      </c>
      <c r="B212" s="6">
        <v>51.3</v>
      </c>
    </row>
    <row r="213" spans="1:2" x14ac:dyDescent="0.2">
      <c r="A213" s="5">
        <v>2023</v>
      </c>
      <c r="B213" s="6">
        <v>51.7</v>
      </c>
    </row>
    <row r="214" spans="1:2" x14ac:dyDescent="0.2">
      <c r="A214" s="5">
        <v>2024</v>
      </c>
      <c r="B214" s="6">
        <v>50.9</v>
      </c>
    </row>
    <row r="215" spans="1:2" x14ac:dyDescent="0.2">
      <c r="A215" s="5">
        <v>2025</v>
      </c>
      <c r="B215" s="6">
        <v>47.8</v>
      </c>
    </row>
    <row r="216" spans="1:2" x14ac:dyDescent="0.2">
      <c r="A216" s="5" t="s">
        <v>16</v>
      </c>
      <c r="B216" s="6">
        <v>335.7</v>
      </c>
    </row>
  </sheetData>
  <pageMargins left="0.7" right="0.7" top="0.75" bottom="0.75" header="0.3" footer="0.3"/>
  <pageSetup paperSize="9" scale="23" fitToWidth="0" fitToHeight="0" orientation="portrait" horizontalDpi="0" verticalDpi="0"/>
  <drawing r:id="rId14"/>
  <extLst>
    <ext xmlns:x14="http://schemas.microsoft.com/office/spreadsheetml/2009/9/main" uri="{A8765BA9-456A-4dab-B4F3-ACF838C121DE}">
      <x14:slicerList>
        <x14:slicer r:id="rId15"/>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Dashboard_</vt:lpstr>
      <vt:lpstr>Dataset</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Scho</dc:creator>
  <cp:lastModifiedBy>Elias Scho</cp:lastModifiedBy>
  <dcterms:created xsi:type="dcterms:W3CDTF">2026-05-11T16:07:21Z</dcterms:created>
  <dcterms:modified xsi:type="dcterms:W3CDTF">2026-05-17T17:28:46Z</dcterms:modified>
</cp:coreProperties>
</file>